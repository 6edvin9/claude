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fill" sheetId="1" state="visible" r:id="rId1"/>
    <sheet xmlns:r="http://schemas.openxmlformats.org/officeDocument/2006/relationships" name="Shipping data" sheetId="2" state="visible" r:id="rId2"/>
  </sheets>
  <definedNames>
    <definedName name="_xlnm._FilterDatabase" localSheetId="1" hidden="1">'Shipping data'!$A$1:$O$201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000FF"/>
      <sz val="10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b val="1"/>
    </font>
    <font>
      <name val="Arial"/>
      <i val="1"/>
      <color rgb="00808080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262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/>
    </xf>
    <xf numFmtId="0" fontId="5" fillId="0" borderId="0" applyAlignment="1" pivotButton="0" quotePrefix="0" xfId="0">
      <alignment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165" fontId="3" fillId="4" borderId="1" pivotButton="0" quotePrefix="0" xfId="0"/>
    <xf numFmtId="0" fontId="3" fillId="4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Aluglobus</author>
  </authors>
  <commentList>
    <comment ref="G1" authorId="0" shapeId="0">
      <text>
        <t>Packed weight of ONE unit as sold (the variant), in pounds, including packaging.</t>
      </text>
    </comment>
    <comment ref="H1" authorId="0" shapeId="0">
      <text>
        <t>Outside dimensions of the shipping box in inches. If one unit ships in several boxes, enter the largest box here and the number of boxes in "Boxes per order unit".</t>
      </text>
    </comment>
    <comment ref="N1" authorId="0" shapeId="0">
      <text>
        <t>Calculated: L x W x H / 139 (UPS/FedEx domestic divisor). Carriers bill the larger of real and dimensional weight.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Shipping data – how to fill</t>
        </is>
      </c>
    </row>
    <row r="2">
      <c r="A2" s="2" t="inlineStr"/>
    </row>
    <row r="3">
      <c r="A3" s="2" t="inlineStr">
        <is>
          <t>1. Go to the "Shipping data" tab. Fill only the yellow columns (blue text): Weight, Box length / width / height, Boxes, Ships by, Notes.</t>
        </is>
      </c>
    </row>
    <row r="4">
      <c r="A4" s="2" t="inlineStr">
        <is>
          <t>2. One row = one thing a customer can add to the cart (each colour / configuration is its own row).</t>
        </is>
      </c>
    </row>
    <row r="5">
      <c r="A5" s="2" t="inlineStr">
        <is>
          <t>3. Weight = packed weight of ONE unit in pounds, including packaging. Box = outside size of the shipping box in inches.</t>
        </is>
      </c>
    </row>
    <row r="6">
      <c r="A6" s="2" t="inlineStr">
        <is>
          <t>4. Kits that ship in several boxes: enter the total weight, the largest box, and the number of boxes. Shopify uses one package per item, so we will set it to the total.</t>
        </is>
      </c>
    </row>
    <row r="7">
      <c r="A7" s="2" t="inlineStr">
        <is>
          <t>5. Ships by: Parcel (UPS/FedEx/USPS size), Freight (LTL) for long or heavy items (for example 18-24 ft profiles, gate kits on a pallet), or Local pickup / delivery.</t>
        </is>
      </c>
    </row>
    <row r="8">
      <c r="A8" s="2" t="inlineStr">
        <is>
          <t>6. Do not edit the Handle column – it is how the import finds the product. Grey columns are for reference.</t>
        </is>
      </c>
    </row>
    <row r="9">
      <c r="A9" s="2" t="inlineStr">
        <is>
          <t>7. Dim. weight and Billable weight calculate by themselves (L x W x H / 139). This is what UPS/FedEx actually bill.</t>
        </is>
      </c>
    </row>
    <row r="10">
      <c r="A10" s="2" t="inlineStr">
        <is>
          <t>8. Leave a row empty if you do not know yet – empty rows are skipped by the import.</t>
        </is>
      </c>
    </row>
    <row r="11">
      <c r="A11" s="2" t="inlineStr">
        <is>
          <t>9. Send the file back; I will turn it into a Shopify import that only updates weight and box size (nothing else changes).</t>
        </is>
      </c>
    </row>
    <row r="12">
      <c r="A12" s="2" t="inlineStr"/>
    </row>
    <row r="13">
      <c r="A13" s="3" t="inlineStr">
        <is>
          <t>Example (how a filled row looks):</t>
        </is>
      </c>
    </row>
    <row r="14">
      <c r="A14" s="4" t="inlineStr">
        <is>
          <t>Handle</t>
        </is>
      </c>
      <c r="B14" s="4" t="inlineStr">
        <is>
          <t>Product</t>
        </is>
      </c>
      <c r="C14" s="4" t="inlineStr">
        <is>
          <t>Option</t>
        </is>
      </c>
      <c r="D14" s="4" t="inlineStr">
        <is>
          <t>Weight (lb)</t>
        </is>
      </c>
      <c r="E14" s="4" t="inlineStr">
        <is>
          <t>Box L (in)</t>
        </is>
      </c>
      <c r="F14" s="4" t="inlineStr">
        <is>
          <t>Box W (in)</t>
        </is>
      </c>
      <c r="G14" s="4" t="inlineStr">
        <is>
          <t>Box H (in)</t>
        </is>
      </c>
      <c r="H14" s="4" t="inlineStr">
        <is>
          <t>Boxes</t>
        </is>
      </c>
      <c r="I14" s="4" t="inlineStr">
        <is>
          <t>Ships by</t>
        </is>
      </c>
      <c r="J14" s="4" t="inlineStr">
        <is>
          <t>Notes</t>
        </is>
      </c>
    </row>
    <row r="15">
      <c r="A15" s="5" t="inlineStr">
        <is>
          <t>example-gate-kit</t>
        </is>
      </c>
      <c r="B15" s="5" t="inlineStr">
        <is>
          <t>Example 4x6 ft gate kit</t>
        </is>
      </c>
      <c r="C15" s="5" t="inlineStr">
        <is>
          <t>Black</t>
        </is>
      </c>
      <c r="D15" s="5" t="n">
        <v>68</v>
      </c>
      <c r="E15" s="5" t="n">
        <v>80</v>
      </c>
      <c r="F15" s="5" t="n">
        <v>14</v>
      </c>
      <c r="G15" s="5" t="n">
        <v>8</v>
      </c>
      <c r="H15" s="5" t="n">
        <v>2</v>
      </c>
      <c r="I15" s="5" t="inlineStr">
        <is>
          <t>Parcel</t>
        </is>
      </c>
      <c r="J15" s="5" t="inlineStr">
        <is>
          <t>Frame box + slat box (example only)</t>
        </is>
      </c>
    </row>
    <row r="17">
      <c r="A17" s="6" t="inlineStr">
        <is>
          <t>Products in the sheet: 200 rows (143 products), including the 7 pergola / patio cover kits.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18" customWidth="1" min="3" max="3"/>
    <col width="26" customWidth="1" min="4" max="4"/>
    <col width="20" customWidth="1" min="5" max="5"/>
    <col width="11" customWidth="1" min="6" max="6"/>
    <col width="11" customWidth="1" min="7" max="7"/>
    <col width="12" customWidth="1" min="8" max="8"/>
    <col width="11" customWidth="1" min="9" max="9"/>
    <col width="12" customWidth="1" min="10" max="10"/>
    <col width="11" customWidth="1" min="11" max="11"/>
    <col width="20" customWidth="1" min="12" max="12"/>
    <col width="28" customWidth="1" min="13" max="13"/>
    <col width="12" customWidth="1" min="14" max="14"/>
    <col width="12" customWidth="1" min="15" max="15"/>
  </cols>
  <sheetData>
    <row r="1" ht="32" customHeight="1">
      <c r="A1" s="7" t="inlineStr">
        <is>
          <t>Handle (do not edit)</t>
        </is>
      </c>
      <c r="B1" s="7" t="inlineStr">
        <is>
          <t>Product</t>
        </is>
      </c>
      <c r="C1" s="7" t="inlineStr">
        <is>
          <t>System</t>
        </is>
      </c>
      <c r="D1" s="7" t="inlineStr">
        <is>
          <t>Option</t>
        </is>
      </c>
      <c r="E1" s="7" t="inlineStr">
        <is>
          <t>SKU</t>
        </is>
      </c>
      <c r="F1" s="7" t="inlineStr">
        <is>
          <t>Price ($)</t>
        </is>
      </c>
      <c r="G1" s="7" t="inlineStr">
        <is>
          <t>Weight (lb)</t>
        </is>
      </c>
      <c r="H1" s="7" t="inlineStr">
        <is>
          <t>Box length (in)</t>
        </is>
      </c>
      <c r="I1" s="7" t="inlineStr">
        <is>
          <t>Box width (in)</t>
        </is>
      </c>
      <c r="J1" s="7" t="inlineStr">
        <is>
          <t>Box height (in)</t>
        </is>
      </c>
      <c r="K1" s="7" t="inlineStr">
        <is>
          <t>Boxes per order unit</t>
        </is>
      </c>
      <c r="L1" s="7" t="inlineStr">
        <is>
          <t>Ships by</t>
        </is>
      </c>
      <c r="M1" s="7" t="inlineStr">
        <is>
          <t>Notes</t>
        </is>
      </c>
      <c r="N1" s="7" t="inlineStr">
        <is>
          <t>Dim. weight (lb)</t>
        </is>
      </c>
      <c r="O1" s="7" t="inlineStr">
        <is>
          <t>Billable weight (lb)</t>
        </is>
      </c>
    </row>
    <row r="2">
      <c r="A2" s="8" t="inlineStr">
        <is>
          <t>diy-only-gate-frame-kit-4-x-6-includes-1x-2x1-side-post</t>
        </is>
      </c>
      <c r="B2" s="9" t="inlineStr">
        <is>
          <t>DIY GATE FRAME KIT ONLY 4' x 6' - BLACK</t>
        </is>
      </c>
      <c r="C2" s="8" t="inlineStr">
        <is>
          <t>Gates</t>
        </is>
      </c>
      <c r="D2" s="9" t="inlineStr">
        <is>
          <t>Black</t>
        </is>
      </c>
      <c r="E2" s="8" t="inlineStr">
        <is>
          <t>AGST-P002-001-BLACK</t>
        </is>
      </c>
      <c r="F2" s="10" t="n">
        <v>492.8</v>
      </c>
      <c r="G2" s="11" t="n"/>
      <c r="H2" s="11" t="n"/>
      <c r="I2" s="11" t="n"/>
      <c r="J2" s="11" t="n"/>
      <c r="K2" s="12" t="n">
        <v>1</v>
      </c>
      <c r="L2" s="12" t="n"/>
      <c r="M2" s="12" t="n"/>
      <c r="N2" s="13">
        <f>IF(AND(H2&gt;0,I2&gt;0,J2&gt;0),ROUND(H2*I2*J2/139,1),"")</f>
        <v/>
      </c>
      <c r="O2" s="13">
        <f>IF(G2="","",IF(N2="",G2,MAX(G2,N2)))</f>
        <v/>
      </c>
    </row>
    <row r="3">
      <c r="A3" s="8" t="inlineStr">
        <is>
          <t>diy-only-gate-frame-kit-4-x-6-includes-1x-2x1-side-post</t>
        </is>
      </c>
      <c r="B3" s="9" t="inlineStr">
        <is>
          <t>DIY GATE FRAME KIT ONLY 4' x 6' - BLACK</t>
        </is>
      </c>
      <c r="C3" s="8" t="inlineStr">
        <is>
          <t>Gates</t>
        </is>
      </c>
      <c r="D3" s="9" t="inlineStr">
        <is>
          <t>Bronze</t>
        </is>
      </c>
      <c r="E3" s="8" t="inlineStr">
        <is>
          <t>AGST-P002-002-BRONZE</t>
        </is>
      </c>
      <c r="F3" s="10" t="n">
        <v>492.8</v>
      </c>
      <c r="G3" s="11" t="n"/>
      <c r="H3" s="11" t="n"/>
      <c r="I3" s="11" t="n"/>
      <c r="J3" s="11" t="n"/>
      <c r="K3" s="12" t="n">
        <v>1</v>
      </c>
      <c r="L3" s="12" t="n"/>
      <c r="M3" s="12" t="n"/>
      <c r="N3" s="13">
        <f>IF(AND(H3&gt;0,I3&gt;0,J3&gt;0),ROUND(H3*I3*J3/139,1),"")</f>
        <v/>
      </c>
      <c r="O3" s="13">
        <f>IF(G3="","",IF(N3="",G3,MAX(G3,N3)))</f>
        <v/>
      </c>
    </row>
    <row r="4">
      <c r="A4" s="8" t="inlineStr">
        <is>
          <t>diy-only-gate-frame-kit-4-x-6-includes-1x-2x1-side-post</t>
        </is>
      </c>
      <c r="B4" s="9" t="inlineStr">
        <is>
          <t>DIY GATE FRAME KIT ONLY 4' x 6' - BLACK</t>
        </is>
      </c>
      <c r="C4" s="8" t="inlineStr">
        <is>
          <t>Gates</t>
        </is>
      </c>
      <c r="D4" s="9" t="inlineStr">
        <is>
          <t>White</t>
        </is>
      </c>
      <c r="E4" s="8" t="inlineStr">
        <is>
          <t>AGST-P003-003-WHITE</t>
        </is>
      </c>
      <c r="F4" s="10" t="n">
        <v>492.8</v>
      </c>
      <c r="G4" s="11" t="n"/>
      <c r="H4" s="11" t="n"/>
      <c r="I4" s="11" t="n"/>
      <c r="J4" s="11" t="n"/>
      <c r="K4" s="12" t="n">
        <v>1</v>
      </c>
      <c r="L4" s="12" t="n"/>
      <c r="M4" s="12" t="n"/>
      <c r="N4" s="13">
        <f>IF(AND(H4&gt;0,I4&gt;0,J4&gt;0),ROUND(H4*I4*J4/139,1),"")</f>
        <v/>
      </c>
      <c r="O4" s="13">
        <f>IF(G4="","",IF(N4="",G4,MAX(G4,N4)))</f>
        <v/>
      </c>
    </row>
    <row r="5">
      <c r="A5" s="8" t="inlineStr">
        <is>
          <t>diy-only-gate-frame-kit-6-x-6-includes-1x-2x1-side-post</t>
        </is>
      </c>
      <c r="B5" s="9" t="inlineStr">
        <is>
          <t>DIY GATE FRAME KIT ONLY 6' x 6' - BLACK</t>
        </is>
      </c>
      <c r="C5" s="8" t="inlineStr">
        <is>
          <t>Gates</t>
        </is>
      </c>
      <c r="D5" s="9" t="inlineStr">
        <is>
          <t>Black</t>
        </is>
      </c>
      <c r="E5" s="8" t="inlineStr">
        <is>
          <t>AGST-P004-004-BLACK</t>
        </is>
      </c>
      <c r="F5" s="10" t="n">
        <v>526.47</v>
      </c>
      <c r="G5" s="11" t="n"/>
      <c r="H5" s="11" t="n"/>
      <c r="I5" s="11" t="n"/>
      <c r="J5" s="11" t="n"/>
      <c r="K5" s="12" t="n">
        <v>1</v>
      </c>
      <c r="L5" s="12" t="n"/>
      <c r="M5" s="12" t="n"/>
      <c r="N5" s="13">
        <f>IF(AND(H5&gt;0,I5&gt;0,J5&gt;0),ROUND(H5*I5*J5/139,1),"")</f>
        <v/>
      </c>
      <c r="O5" s="13">
        <f>IF(G5="","",IF(N5="",G5,MAX(G5,N5)))</f>
        <v/>
      </c>
    </row>
    <row r="6">
      <c r="A6" s="8" t="inlineStr">
        <is>
          <t>diy-only-gate-frame-kit-6-x-6-includes-1x-2x1-side-post</t>
        </is>
      </c>
      <c r="B6" s="9" t="inlineStr">
        <is>
          <t>DIY GATE FRAME KIT ONLY 6' x 6' - BLACK</t>
        </is>
      </c>
      <c r="C6" s="8" t="inlineStr">
        <is>
          <t>Gates</t>
        </is>
      </c>
      <c r="D6" s="9" t="inlineStr">
        <is>
          <t>Bronze</t>
        </is>
      </c>
      <c r="E6" s="8" t="inlineStr">
        <is>
          <t>AGST-P005-005-BRONZE</t>
        </is>
      </c>
      <c r="F6" s="10" t="n">
        <v>526.47</v>
      </c>
      <c r="G6" s="11" t="n"/>
      <c r="H6" s="11" t="n"/>
      <c r="I6" s="11" t="n"/>
      <c r="J6" s="11" t="n"/>
      <c r="K6" s="12" t="n">
        <v>1</v>
      </c>
      <c r="L6" s="12" t="n"/>
      <c r="M6" s="12" t="n"/>
      <c r="N6" s="13">
        <f>IF(AND(H6&gt;0,I6&gt;0,J6&gt;0),ROUND(H6*I6*J6/139,1),"")</f>
        <v/>
      </c>
      <c r="O6" s="13">
        <f>IF(G6="","",IF(N6="",G6,MAX(G6,N6)))</f>
        <v/>
      </c>
    </row>
    <row r="7">
      <c r="A7" s="8" t="inlineStr">
        <is>
          <t>diy-only-gate-frame-kit-6-x-6-includes-1x-2x1-side-post</t>
        </is>
      </c>
      <c r="B7" s="9" t="inlineStr">
        <is>
          <t>DIY GATE FRAME KIT ONLY 6' x 6' - BLACK</t>
        </is>
      </c>
      <c r="C7" s="8" t="inlineStr">
        <is>
          <t>Gates</t>
        </is>
      </c>
      <c r="D7" s="9" t="inlineStr">
        <is>
          <t>White</t>
        </is>
      </c>
      <c r="E7" s="8" t="inlineStr">
        <is>
          <t>AGST-P006-006-WHITE</t>
        </is>
      </c>
      <c r="F7" s="10" t="n">
        <v>526.47</v>
      </c>
      <c r="G7" s="11" t="n"/>
      <c r="H7" s="11" t="n"/>
      <c r="I7" s="11" t="n"/>
      <c r="J7" s="11" t="n"/>
      <c r="K7" s="12" t="n">
        <v>1</v>
      </c>
      <c r="L7" s="12" t="n"/>
      <c r="M7" s="12" t="n"/>
      <c r="N7" s="13">
        <f>IF(AND(H7&gt;0,I7&gt;0,J7&gt;0),ROUND(H7*I7*J7/139,1),"")</f>
        <v/>
      </c>
      <c r="O7" s="13">
        <f>IF(G7="","",IF(N7="",G7,MAX(G7,N7)))</f>
        <v/>
      </c>
    </row>
    <row r="8">
      <c r="A8" s="8" t="inlineStr">
        <is>
          <t>diy-only-gate-frame-kit-6x8-includes-1x-2x1-side-post</t>
        </is>
      </c>
      <c r="B8" s="9" t="inlineStr">
        <is>
          <t>DIY GATE FRAME KIT ONLY 6' x 8' - BLACK</t>
        </is>
      </c>
      <c r="C8" s="8" t="inlineStr">
        <is>
          <t>Gates</t>
        </is>
      </c>
      <c r="D8" s="9" t="inlineStr">
        <is>
          <t>Black</t>
        </is>
      </c>
      <c r="E8" s="8" t="inlineStr">
        <is>
          <t>AGST-P007-007-BLACK</t>
        </is>
      </c>
      <c r="F8" s="10" t="n">
        <v>592.15</v>
      </c>
      <c r="G8" s="11" t="n"/>
      <c r="H8" s="11" t="n"/>
      <c r="I8" s="11" t="n"/>
      <c r="J8" s="11" t="n"/>
      <c r="K8" s="12" t="n">
        <v>1</v>
      </c>
      <c r="L8" s="12" t="n"/>
      <c r="M8" s="12" t="n"/>
      <c r="N8" s="13">
        <f>IF(AND(H8&gt;0,I8&gt;0,J8&gt;0),ROUND(H8*I8*J8/139,1),"")</f>
        <v/>
      </c>
      <c r="O8" s="13">
        <f>IF(G8="","",IF(N8="",G8,MAX(G8,N8)))</f>
        <v/>
      </c>
    </row>
    <row r="9">
      <c r="A9" s="8" t="inlineStr">
        <is>
          <t>diy-only-gate-frame-kit-6x8-includes-1x-2x1-side-post</t>
        </is>
      </c>
      <c r="B9" s="9" t="inlineStr">
        <is>
          <t>DIY GATE FRAME KIT ONLY 6' x 8' - BLACK</t>
        </is>
      </c>
      <c r="C9" s="8" t="inlineStr">
        <is>
          <t>Gates</t>
        </is>
      </c>
      <c r="D9" s="9" t="inlineStr">
        <is>
          <t>Bronze</t>
        </is>
      </c>
      <c r="E9" s="8" t="inlineStr">
        <is>
          <t>AGST-P008-008-BRONZE</t>
        </is>
      </c>
      <c r="F9" s="10" t="n">
        <v>592.15</v>
      </c>
      <c r="G9" s="11" t="n"/>
      <c r="H9" s="11" t="n"/>
      <c r="I9" s="11" t="n"/>
      <c r="J9" s="11" t="n"/>
      <c r="K9" s="12" t="n">
        <v>1</v>
      </c>
      <c r="L9" s="12" t="n"/>
      <c r="M9" s="12" t="n"/>
      <c r="N9" s="13">
        <f>IF(AND(H9&gt;0,I9&gt;0,J9&gt;0),ROUND(H9*I9*J9/139,1),"")</f>
        <v/>
      </c>
      <c r="O9" s="13">
        <f>IF(G9="","",IF(N9="",G9,MAX(G9,N9)))</f>
        <v/>
      </c>
    </row>
    <row r="10">
      <c r="A10" s="8" t="inlineStr">
        <is>
          <t>diy-only-gate-frame-kit-6x8-includes-1x-2x1-side-post</t>
        </is>
      </c>
      <c r="B10" s="9" t="inlineStr">
        <is>
          <t>DIY GATE FRAME KIT ONLY 6' x 8' - BLACK</t>
        </is>
      </c>
      <c r="C10" s="8" t="inlineStr">
        <is>
          <t>Gates</t>
        </is>
      </c>
      <c r="D10" s="9" t="inlineStr">
        <is>
          <t>White</t>
        </is>
      </c>
      <c r="E10" s="8" t="inlineStr">
        <is>
          <t>AGST-P009-009-WHITE</t>
        </is>
      </c>
      <c r="F10" s="10" t="n">
        <v>592.15</v>
      </c>
      <c r="G10" s="11" t="n"/>
      <c r="H10" s="11" t="n"/>
      <c r="I10" s="11" t="n"/>
      <c r="J10" s="11" t="n"/>
      <c r="K10" s="12" t="n">
        <v>1</v>
      </c>
      <c r="L10" s="12" t="n"/>
      <c r="M10" s="12" t="n"/>
      <c r="N10" s="13">
        <f>IF(AND(H10&gt;0,I10&gt;0,J10&gt;0),ROUND(H10*I10*J10/139,1),"")</f>
        <v/>
      </c>
      <c r="O10" s="13">
        <f>IF(G10="","",IF(N10="",G10,MAX(G10,N10)))</f>
        <v/>
      </c>
    </row>
    <row r="11">
      <c r="A11" s="8" t="inlineStr">
        <is>
          <t>2x2in-hinge-post-l-side-post-kit-6-ft</t>
        </is>
      </c>
      <c r="B11" s="9" t="inlineStr">
        <is>
          <t>2x2in Hinge Post &amp; L-Side Post Kit 6 ft</t>
        </is>
      </c>
      <c r="C11" s="8" t="inlineStr">
        <is>
          <t>Gates</t>
        </is>
      </c>
      <c r="D11" s="9" t="inlineStr"/>
      <c r="E11" s="8" t="inlineStr">
        <is>
          <t>AGST-P010-010</t>
        </is>
      </c>
      <c r="F11" s="10" t="n">
        <v>181.76</v>
      </c>
      <c r="G11" s="11" t="n"/>
      <c r="H11" s="11" t="n"/>
      <c r="I11" s="11" t="n"/>
      <c r="J11" s="11" t="n"/>
      <c r="K11" s="12" t="n">
        <v>1</v>
      </c>
      <c r="L11" s="12" t="n"/>
      <c r="M11" s="12" t="n"/>
      <c r="N11" s="13">
        <f>IF(AND(H11&gt;0,I11&gt;0,J11&gt;0),ROUND(H11*I11*J11/139,1),"")</f>
        <v/>
      </c>
      <c r="O11" s="13">
        <f>IF(G11="","",IF(N11="",G11,MAX(G11,N11)))</f>
        <v/>
      </c>
    </row>
    <row r="12">
      <c r="A12" s="8" t="inlineStr">
        <is>
          <t>box-2x2in-x-6ft-l-side-post</t>
        </is>
      </c>
      <c r="B12" s="9" t="inlineStr">
        <is>
          <t>(Box) 2x2in x 6ft L-Side Post</t>
        </is>
      </c>
      <c r="C12" s="8" t="inlineStr">
        <is>
          <t>Gates</t>
        </is>
      </c>
      <c r="D12" s="9" t="inlineStr"/>
      <c r="E12" s="8" t="inlineStr">
        <is>
          <t>AGST-P011-011</t>
        </is>
      </c>
      <c r="F12" s="10" t="n">
        <v>90.88</v>
      </c>
      <c r="G12" s="11" t="n"/>
      <c r="H12" s="11" t="n"/>
      <c r="I12" s="11" t="n"/>
      <c r="J12" s="11" t="n"/>
      <c r="K12" s="12" t="n">
        <v>1</v>
      </c>
      <c r="L12" s="12" t="n"/>
      <c r="M12" s="12" t="n"/>
      <c r="N12" s="13">
        <f>IF(AND(H12&gt;0,I12&gt;0,J12&gt;0),ROUND(H12*I12*J12/139,1),"")</f>
        <v/>
      </c>
      <c r="O12" s="13">
        <f>IF(G12="","",IF(N12="",G12,MAX(G12,N12)))</f>
        <v/>
      </c>
    </row>
    <row r="13">
      <c r="A13" s="8" t="inlineStr">
        <is>
          <t>box-2x2in-hinge-post-6-ft-wall-installation-only</t>
        </is>
      </c>
      <c r="B13" s="9" t="inlineStr">
        <is>
          <t>(Box) 2x2in Hinge Post 6 ft (Wall Installation Only)</t>
        </is>
      </c>
      <c r="C13" s="8" t="inlineStr">
        <is>
          <t>Gates</t>
        </is>
      </c>
      <c r="D13" s="9" t="inlineStr"/>
      <c r="E13" s="8" t="inlineStr">
        <is>
          <t>AGST-P012-012</t>
        </is>
      </c>
      <c r="F13" s="10" t="n">
        <v>85.92</v>
      </c>
      <c r="G13" s="11" t="n"/>
      <c r="H13" s="11" t="n"/>
      <c r="I13" s="11" t="n"/>
      <c r="J13" s="11" t="n"/>
      <c r="K13" s="12" t="n">
        <v>1</v>
      </c>
      <c r="L13" s="12" t="n"/>
      <c r="M13" s="12" t="n"/>
      <c r="N13" s="13">
        <f>IF(AND(H13&gt;0,I13&gt;0,J13&gt;0),ROUND(H13*I13*J13/139,1),"")</f>
        <v/>
      </c>
      <c r="O13" s="13">
        <f>IF(G13="","",IF(N13="",G13,MAX(G13,N13)))</f>
        <v/>
      </c>
    </row>
    <row r="14">
      <c r="A14" s="8" t="inlineStr">
        <is>
          <t>box-2x2in-hinge-post-8-ft-wall-installation-only</t>
        </is>
      </c>
      <c r="B14" s="9" t="inlineStr">
        <is>
          <t>(Box) 2x2in Hinge Post 8 ft (Wall Installation Only)</t>
        </is>
      </c>
      <c r="C14" s="8" t="inlineStr">
        <is>
          <t>Gates</t>
        </is>
      </c>
      <c r="D14" s="9" t="inlineStr"/>
      <c r="E14" s="8" t="inlineStr">
        <is>
          <t>AGST-P012-013</t>
        </is>
      </c>
      <c r="F14" s="10" t="n">
        <v>115.36</v>
      </c>
      <c r="G14" s="11" t="n"/>
      <c r="H14" s="11" t="n"/>
      <c r="I14" s="11" t="n"/>
      <c r="J14" s="11" t="n"/>
      <c r="K14" s="12" t="n">
        <v>1</v>
      </c>
      <c r="L14" s="12" t="n"/>
      <c r="M14" s="12" t="n"/>
      <c r="N14" s="13">
        <f>IF(AND(H14&gt;0,I14&gt;0,J14&gt;0),ROUND(H14*I14*J14/139,1),"")</f>
        <v/>
      </c>
      <c r="O14" s="13">
        <f>IF(G14="","",IF(N14="",G14,MAX(G14,N14)))</f>
        <v/>
      </c>
    </row>
    <row r="15">
      <c r="A15" s="8" t="inlineStr">
        <is>
          <t>5x5-in-base-plate-black</t>
        </is>
      </c>
      <c r="B15" s="9" t="inlineStr">
        <is>
          <t>5x5 in. Base Plate - Black</t>
        </is>
      </c>
      <c r="C15" s="8" t="inlineStr">
        <is>
          <t>Gates</t>
        </is>
      </c>
      <c r="D15" s="9" t="inlineStr"/>
      <c r="E15" s="8" t="inlineStr">
        <is>
          <t>AGST-P052-086</t>
        </is>
      </c>
      <c r="F15" s="10" t="n">
        <v>35</v>
      </c>
      <c r="G15" s="11" t="n"/>
      <c r="H15" s="11" t="n"/>
      <c r="I15" s="11" t="n"/>
      <c r="J15" s="11" t="n"/>
      <c r="K15" s="12" t="n">
        <v>1</v>
      </c>
      <c r="L15" s="12" t="n"/>
      <c r="M15" s="12" t="n"/>
      <c r="N15" s="13">
        <f>IF(AND(H15&gt;0,I15&gt;0,J15&gt;0),ROUND(H15*I15*J15/139,1),"")</f>
        <v/>
      </c>
      <c r="O15" s="13">
        <f>IF(G15="","",IF(N15="",G15,MAX(G15,N15)))</f>
        <v/>
      </c>
    </row>
    <row r="16">
      <c r="A16" s="8" t="inlineStr">
        <is>
          <t>gate-slat-box-alu-60-tg-slat-11pcs-39in</t>
        </is>
      </c>
      <c r="B16" s="9" t="inlineStr">
        <is>
          <t>(Gate Slat Box) ALU 60 T&amp;G Slat - 11pcs (39in)</t>
        </is>
      </c>
      <c r="C16" s="8" t="inlineStr">
        <is>
          <t>Gates</t>
        </is>
      </c>
      <c r="D16" s="9" t="inlineStr">
        <is>
          <t>Black</t>
        </is>
      </c>
      <c r="E16" s="8" t="inlineStr">
        <is>
          <t>AGST-P015-018-BLACK</t>
        </is>
      </c>
      <c r="F16" s="10" t="n">
        <v>282.28</v>
      </c>
      <c r="G16" s="11" t="n"/>
      <c r="H16" s="11" t="n"/>
      <c r="I16" s="11" t="n"/>
      <c r="J16" s="11" t="n"/>
      <c r="K16" s="12" t="n">
        <v>1</v>
      </c>
      <c r="L16" s="12" t="n"/>
      <c r="M16" s="12" t="n"/>
      <c r="N16" s="13">
        <f>IF(AND(H16&gt;0,I16&gt;0,J16&gt;0),ROUND(H16*I16*J16/139,1),"")</f>
        <v/>
      </c>
      <c r="O16" s="13">
        <f>IF(G16="","",IF(N16="",G16,MAX(G16,N16)))</f>
        <v/>
      </c>
    </row>
    <row r="17">
      <c r="A17" s="8" t="inlineStr">
        <is>
          <t>gate-slat-box-alu-60-tg-slat-11pcs-39in</t>
        </is>
      </c>
      <c r="B17" s="9" t="inlineStr">
        <is>
          <t>(Gate Slat Box) ALU 60 T&amp;G Slat - 11pcs (39in)</t>
        </is>
      </c>
      <c r="C17" s="8" t="inlineStr">
        <is>
          <t>Gates</t>
        </is>
      </c>
      <c r="D17" s="9" t="inlineStr">
        <is>
          <t>Bronze</t>
        </is>
      </c>
      <c r="E17" s="8" t="inlineStr">
        <is>
          <t>AGST-P015-019-BRONZE</t>
        </is>
      </c>
      <c r="F17" s="10" t="n">
        <v>282.28</v>
      </c>
      <c r="G17" s="11" t="n"/>
      <c r="H17" s="11" t="n"/>
      <c r="I17" s="11" t="n"/>
      <c r="J17" s="11" t="n"/>
      <c r="K17" s="12" t="n">
        <v>1</v>
      </c>
      <c r="L17" s="12" t="n"/>
      <c r="M17" s="12" t="n"/>
      <c r="N17" s="13">
        <f>IF(AND(H17&gt;0,I17&gt;0,J17&gt;0),ROUND(H17*I17*J17/139,1),"")</f>
        <v/>
      </c>
      <c r="O17" s="13">
        <f>IF(G17="","",IF(N17="",G17,MAX(G17,N17)))</f>
        <v/>
      </c>
    </row>
    <row r="18">
      <c r="A18" s="8" t="inlineStr">
        <is>
          <t>gate-slat-box-alu-60-tg-slat-11pcs-39in</t>
        </is>
      </c>
      <c r="B18" s="9" t="inlineStr">
        <is>
          <t>(Gate Slat Box) ALU 60 T&amp;G Slat - 11pcs (39in)</t>
        </is>
      </c>
      <c r="C18" s="8" t="inlineStr">
        <is>
          <t>Gates</t>
        </is>
      </c>
      <c r="D18" s="9" t="inlineStr">
        <is>
          <t>White</t>
        </is>
      </c>
      <c r="E18" s="8" t="inlineStr">
        <is>
          <t>AGST-P015-020-WHITE</t>
        </is>
      </c>
      <c r="F18" s="10" t="n">
        <v>282.28</v>
      </c>
      <c r="G18" s="11" t="n"/>
      <c r="H18" s="11" t="n"/>
      <c r="I18" s="11" t="n"/>
      <c r="J18" s="11" t="n"/>
      <c r="K18" s="12" t="n">
        <v>1</v>
      </c>
      <c r="L18" s="12" t="n"/>
      <c r="M18" s="12" t="n"/>
      <c r="N18" s="13">
        <f>IF(AND(H18&gt;0,I18&gt;0,J18&gt;0),ROUND(H18*I18*J18/139,1),"")</f>
        <v/>
      </c>
      <c r="O18" s="13">
        <f>IF(G18="","",IF(N18="",G18,MAX(G18,N18)))</f>
        <v/>
      </c>
    </row>
    <row r="19">
      <c r="A19" s="8" t="inlineStr">
        <is>
          <t>gate-slat-box-alu-60-t-g-slat-11pcs-62in-black</t>
        </is>
      </c>
      <c r="B19" s="9" t="inlineStr">
        <is>
          <t>(Gate Slat Box) ALU 60 T&amp;G Slat - 11pcs (62in)</t>
        </is>
      </c>
      <c r="C19" s="8" t="inlineStr">
        <is>
          <t>Gates</t>
        </is>
      </c>
      <c r="D19" s="9" t="inlineStr">
        <is>
          <t>Black</t>
        </is>
      </c>
      <c r="E19" s="8" t="inlineStr">
        <is>
          <t>AGST-P015-021-BLACK</t>
        </is>
      </c>
      <c r="F19" s="10" t="n">
        <v>450.35</v>
      </c>
      <c r="G19" s="11" t="n"/>
      <c r="H19" s="11" t="n"/>
      <c r="I19" s="11" t="n"/>
      <c r="J19" s="11" t="n"/>
      <c r="K19" s="12" t="n">
        <v>1</v>
      </c>
      <c r="L19" s="12" t="n"/>
      <c r="M19" s="12" t="n"/>
      <c r="N19" s="13">
        <f>IF(AND(H19&gt;0,I19&gt;0,J19&gt;0),ROUND(H19*I19*J19/139,1),"")</f>
        <v/>
      </c>
      <c r="O19" s="13">
        <f>IF(G19="","",IF(N19="",G19,MAX(G19,N19)))</f>
        <v/>
      </c>
    </row>
    <row r="20">
      <c r="A20" s="8" t="inlineStr">
        <is>
          <t>gate-slat-box-alu-60-t-g-slat-11pcs-62in-black</t>
        </is>
      </c>
      <c r="B20" s="9" t="inlineStr">
        <is>
          <t>(Gate Slat Box) ALU 60 T&amp;G Slat - 11pcs (62in)</t>
        </is>
      </c>
      <c r="C20" s="8" t="inlineStr">
        <is>
          <t>Gates</t>
        </is>
      </c>
      <c r="D20" s="9" t="inlineStr">
        <is>
          <t>Bronze</t>
        </is>
      </c>
      <c r="E20" s="8" t="inlineStr">
        <is>
          <t>AGST-P016-022-BRONZE</t>
        </is>
      </c>
      <c r="F20" s="10" t="n">
        <v>450.35</v>
      </c>
      <c r="G20" s="11" t="n"/>
      <c r="H20" s="11" t="n"/>
      <c r="I20" s="11" t="n"/>
      <c r="J20" s="11" t="n"/>
      <c r="K20" s="12" t="n">
        <v>1</v>
      </c>
      <c r="L20" s="12" t="n"/>
      <c r="M20" s="12" t="n"/>
      <c r="N20" s="13">
        <f>IF(AND(H20&gt;0,I20&gt;0,J20&gt;0),ROUND(H20*I20*J20/139,1),"")</f>
        <v/>
      </c>
      <c r="O20" s="13">
        <f>IF(G20="","",IF(N20="",G20,MAX(G20,N20)))</f>
        <v/>
      </c>
    </row>
    <row r="21">
      <c r="A21" s="8" t="inlineStr">
        <is>
          <t>gate-slat-box-alu-60-t-g-slat-11pcs-62in-black</t>
        </is>
      </c>
      <c r="B21" s="9" t="inlineStr">
        <is>
          <t>(Gate Slat Box) ALU 60 T&amp;G Slat - 11pcs (62in)</t>
        </is>
      </c>
      <c r="C21" s="8" t="inlineStr">
        <is>
          <t>Gates</t>
        </is>
      </c>
      <c r="D21" s="9" t="inlineStr">
        <is>
          <t>White</t>
        </is>
      </c>
      <c r="E21" s="8" t="inlineStr">
        <is>
          <t>AGST-P016-023-WHITE</t>
        </is>
      </c>
      <c r="F21" s="10" t="n">
        <v>450.35</v>
      </c>
      <c r="G21" s="11" t="n"/>
      <c r="H21" s="11" t="n"/>
      <c r="I21" s="11" t="n"/>
      <c r="J21" s="11" t="n"/>
      <c r="K21" s="12" t="n">
        <v>1</v>
      </c>
      <c r="L21" s="12" t="n"/>
      <c r="M21" s="12" t="n"/>
      <c r="N21" s="13">
        <f>IF(AND(H21&gt;0,I21&gt;0,J21&gt;0),ROUND(H21*I21*J21/139,1),"")</f>
        <v/>
      </c>
      <c r="O21" s="13">
        <f>IF(G21="","",IF(N21="",G21,MAX(G21,N21)))</f>
        <v/>
      </c>
    </row>
    <row r="22">
      <c r="A22" s="8" t="inlineStr">
        <is>
          <t>gate-slat-box-alu-40-slat-16pcs-39in</t>
        </is>
      </c>
      <c r="B22" s="9" t="inlineStr">
        <is>
          <t>(Gate Slat Box) ALU 40 Slat - 16pcs (39in)</t>
        </is>
      </c>
      <c r="C22" s="8" t="inlineStr">
        <is>
          <t>Gates</t>
        </is>
      </c>
      <c r="D22" s="9" t="inlineStr">
        <is>
          <t>Black</t>
        </is>
      </c>
      <c r="E22" s="8" t="inlineStr">
        <is>
          <t>AGST-P016-024-BLACK</t>
        </is>
      </c>
      <c r="F22" s="10" t="n">
        <v>265.35</v>
      </c>
      <c r="G22" s="11" t="n"/>
      <c r="H22" s="11" t="n"/>
      <c r="I22" s="11" t="n"/>
      <c r="J22" s="11" t="n"/>
      <c r="K22" s="12" t="n">
        <v>1</v>
      </c>
      <c r="L22" s="12" t="n"/>
      <c r="M22" s="12" t="n"/>
      <c r="N22" s="13">
        <f>IF(AND(H22&gt;0,I22&gt;0,J22&gt;0),ROUND(H22*I22*J22/139,1),"")</f>
        <v/>
      </c>
      <c r="O22" s="13">
        <f>IF(G22="","",IF(N22="",G22,MAX(G22,N22)))</f>
        <v/>
      </c>
    </row>
    <row r="23">
      <c r="A23" s="8" t="inlineStr">
        <is>
          <t>gate-slat-box-alu-40-slat-16pcs-39in</t>
        </is>
      </c>
      <c r="B23" s="9" t="inlineStr">
        <is>
          <t>(Gate Slat Box) ALU 40 Slat - 16pcs (39in)</t>
        </is>
      </c>
      <c r="C23" s="8" t="inlineStr">
        <is>
          <t>Gates</t>
        </is>
      </c>
      <c r="D23" s="9" t="inlineStr">
        <is>
          <t>Bronze</t>
        </is>
      </c>
      <c r="E23" s="8" t="inlineStr">
        <is>
          <t>AGST-P017-025-BRONZE</t>
        </is>
      </c>
      <c r="F23" s="10" t="n">
        <v>265.35</v>
      </c>
      <c r="G23" s="11" t="n"/>
      <c r="H23" s="11" t="n"/>
      <c r="I23" s="11" t="n"/>
      <c r="J23" s="11" t="n"/>
      <c r="K23" s="12" t="n">
        <v>1</v>
      </c>
      <c r="L23" s="12" t="n"/>
      <c r="M23" s="12" t="n"/>
      <c r="N23" s="13">
        <f>IF(AND(H23&gt;0,I23&gt;0,J23&gt;0),ROUND(H23*I23*J23/139,1),"")</f>
        <v/>
      </c>
      <c r="O23" s="13">
        <f>IF(G23="","",IF(N23="",G23,MAX(G23,N23)))</f>
        <v/>
      </c>
    </row>
    <row r="24">
      <c r="A24" s="8" t="inlineStr">
        <is>
          <t>gate-slat-box-alu-40-slat-16pcs-39in</t>
        </is>
      </c>
      <c r="B24" s="9" t="inlineStr">
        <is>
          <t>(Gate Slat Box) ALU 40 Slat - 16pcs (39in)</t>
        </is>
      </c>
      <c r="C24" s="8" t="inlineStr">
        <is>
          <t>Gates</t>
        </is>
      </c>
      <c r="D24" s="9" t="inlineStr">
        <is>
          <t>White</t>
        </is>
      </c>
      <c r="E24" s="8" t="inlineStr">
        <is>
          <t>AGST-P017-026-WHITE</t>
        </is>
      </c>
      <c r="F24" s="10" t="n">
        <v>265.35</v>
      </c>
      <c r="G24" s="11" t="n"/>
      <c r="H24" s="11" t="n"/>
      <c r="I24" s="11" t="n"/>
      <c r="J24" s="11" t="n"/>
      <c r="K24" s="12" t="n">
        <v>1</v>
      </c>
      <c r="L24" s="12" t="n"/>
      <c r="M24" s="12" t="n"/>
      <c r="N24" s="13">
        <f>IF(AND(H24&gt;0,I24&gt;0,J24&gt;0),ROUND(H24*I24*J24/139,1),"")</f>
        <v/>
      </c>
      <c r="O24" s="13">
        <f>IF(G24="","",IF(N24="",G24,MAX(G24,N24)))</f>
        <v/>
      </c>
    </row>
    <row r="25">
      <c r="A25" s="8" t="inlineStr">
        <is>
          <t>gate-slat-box-alu-40-slat-16pcs-62in-black</t>
        </is>
      </c>
      <c r="B25" s="9" t="inlineStr">
        <is>
          <t>(Gate Slat Box) ALU 40 Slat - 16pcs (62in)</t>
        </is>
      </c>
      <c r="C25" s="8" t="inlineStr">
        <is>
          <t>Gates</t>
        </is>
      </c>
      <c r="D25" s="9" t="inlineStr">
        <is>
          <t>Black</t>
        </is>
      </c>
      <c r="E25" s="8" t="inlineStr">
        <is>
          <t>AGST-P017-027-BLACK</t>
        </is>
      </c>
      <c r="F25" s="10" t="n">
        <v>422.12</v>
      </c>
      <c r="G25" s="11" t="n"/>
      <c r="H25" s="11" t="n"/>
      <c r="I25" s="11" t="n"/>
      <c r="J25" s="11" t="n"/>
      <c r="K25" s="12" t="n">
        <v>1</v>
      </c>
      <c r="L25" s="12" t="n"/>
      <c r="M25" s="12" t="n"/>
      <c r="N25" s="13">
        <f>IF(AND(H25&gt;0,I25&gt;0,J25&gt;0),ROUND(H25*I25*J25/139,1),"")</f>
        <v/>
      </c>
      <c r="O25" s="13">
        <f>IF(G25="","",IF(N25="",G25,MAX(G25,N25)))</f>
        <v/>
      </c>
    </row>
    <row r="26">
      <c r="A26" s="8" t="inlineStr">
        <is>
          <t>gate-slat-box-alu-40-slat-16pcs-62in-black</t>
        </is>
      </c>
      <c r="B26" s="9" t="inlineStr">
        <is>
          <t>(Gate Slat Box) ALU 40 Slat - 16pcs (62in)</t>
        </is>
      </c>
      <c r="C26" s="8" t="inlineStr">
        <is>
          <t>Gates</t>
        </is>
      </c>
      <c r="D26" s="9" t="inlineStr">
        <is>
          <t>Bronze</t>
        </is>
      </c>
      <c r="E26" s="8" t="inlineStr">
        <is>
          <t>AGST-P018-029-BRONZE</t>
        </is>
      </c>
      <c r="F26" s="10" t="n">
        <v>422.12</v>
      </c>
      <c r="G26" s="11" t="n"/>
      <c r="H26" s="11" t="n"/>
      <c r="I26" s="11" t="n"/>
      <c r="J26" s="11" t="n"/>
      <c r="K26" s="12" t="n">
        <v>1</v>
      </c>
      <c r="L26" s="12" t="n"/>
      <c r="M26" s="12" t="n"/>
      <c r="N26" s="13">
        <f>IF(AND(H26&gt;0,I26&gt;0,J26&gt;0),ROUND(H26*I26*J26/139,1),"")</f>
        <v/>
      </c>
      <c r="O26" s="13">
        <f>IF(G26="","",IF(N26="",G26,MAX(G26,N26)))</f>
        <v/>
      </c>
    </row>
    <row r="27">
      <c r="A27" s="8" t="inlineStr">
        <is>
          <t>aluminum-gate-kit-alu20-slat-universal-diy-4-x-6-horizontal</t>
        </is>
      </c>
      <c r="B27" s="9" t="inlineStr">
        <is>
          <t>ALU 20 Black 4x6 ft. Universal DIY Pedestrian Gate Kit - Single Swing - GAP 3/8" or 1/2"</t>
        </is>
      </c>
      <c r="C27" s="8" t="inlineStr">
        <is>
          <t>Gates</t>
        </is>
      </c>
      <c r="D27" s="9" t="inlineStr"/>
      <c r="E27" s="8" t="inlineStr">
        <is>
          <t>AG-38472</t>
        </is>
      </c>
      <c r="F27" s="10" t="n">
        <v>765.54</v>
      </c>
      <c r="G27" s="11" t="n"/>
      <c r="H27" s="11" t="n"/>
      <c r="I27" s="11" t="n"/>
      <c r="J27" s="11" t="n"/>
      <c r="K27" s="12" t="n">
        <v>1</v>
      </c>
      <c r="L27" s="12" t="n"/>
      <c r="M27" s="12" t="n"/>
      <c r="N27" s="13">
        <f>IF(AND(H27&gt;0,I27&gt;0,J27&gt;0),ROUND(H27*I27*J27/139,1),"")</f>
        <v/>
      </c>
      <c r="O27" s="13">
        <f>IF(G27="","",IF(N27="",G27,MAX(G27,N27)))</f>
        <v/>
      </c>
    </row>
    <row r="28">
      <c r="A28" s="8" t="inlineStr">
        <is>
          <t>aluminum-gate-kit-alu20-slat-universal-diy-6-x-6-horizontal-2</t>
        </is>
      </c>
      <c r="B28" s="9" t="inlineStr">
        <is>
          <t>ALU 20 Black 6x6 ft. Universal DIY Pedestrian Gate Kit - Single Swing - GAP 3/8" or 1/2"</t>
        </is>
      </c>
      <c r="C28" s="8" t="inlineStr">
        <is>
          <t>Gates</t>
        </is>
      </c>
      <c r="D28" s="9" t="inlineStr"/>
      <c r="E28" s="8" t="inlineStr">
        <is>
          <t>26856</t>
        </is>
      </c>
      <c r="F28" s="10" t="n">
        <v>807.54</v>
      </c>
      <c r="G28" s="11" t="n"/>
      <c r="H28" s="11" t="n"/>
      <c r="I28" s="11" t="n"/>
      <c r="J28" s="11" t="n"/>
      <c r="K28" s="12" t="n">
        <v>1</v>
      </c>
      <c r="L28" s="12" t="n"/>
      <c r="M28" s="12" t="n"/>
      <c r="N28" s="13">
        <f>IF(AND(H28&gt;0,I28&gt;0,J28&gt;0),ROUND(H28*I28*J28/139,1),"")</f>
        <v/>
      </c>
      <c r="O28" s="13">
        <f>IF(G28="","",IF(N28="",G28,MAX(G28,N28)))</f>
        <v/>
      </c>
    </row>
    <row r="29">
      <c r="A29" s="8" t="inlineStr">
        <is>
          <t>box-alu-40-4x6-ft-diy-pedestrian-gate-kit-single-swing-gap-3-8</t>
        </is>
      </c>
      <c r="B29" s="9" t="inlineStr">
        <is>
          <t>(Box) Alu 40 4x6 ft. DIY Pedestrian gate kit - Single swing - GAP 3/8"</t>
        </is>
      </c>
      <c r="C29" s="8" t="inlineStr">
        <is>
          <t>Gates</t>
        </is>
      </c>
      <c r="D29" s="9" t="inlineStr">
        <is>
          <t>Black</t>
        </is>
      </c>
      <c r="E29" s="8" t="inlineStr">
        <is>
          <t>AGST-P023-034-BLACK</t>
        </is>
      </c>
      <c r="F29" s="10" t="n">
        <v>758.15</v>
      </c>
      <c r="G29" s="11" t="n"/>
      <c r="H29" s="11" t="n"/>
      <c r="I29" s="11" t="n"/>
      <c r="J29" s="11" t="n"/>
      <c r="K29" s="12" t="n">
        <v>1</v>
      </c>
      <c r="L29" s="12" t="n"/>
      <c r="M29" s="12" t="n"/>
      <c r="N29" s="13">
        <f>IF(AND(H29&gt;0,I29&gt;0,J29&gt;0),ROUND(H29*I29*J29/139,1),"")</f>
        <v/>
      </c>
      <c r="O29" s="13">
        <f>IF(G29="","",IF(N29="",G29,MAX(G29,N29)))</f>
        <v/>
      </c>
    </row>
    <row r="30">
      <c r="A30" s="8" t="inlineStr">
        <is>
          <t>box-alu-40-4x6-ft-diy-pedestrian-gate-kit-single-swing-gap-3-8</t>
        </is>
      </c>
      <c r="B30" s="9" t="inlineStr">
        <is>
          <t>(Box) Alu 40 4x6 ft. DIY Pedestrian gate kit - Single swing - GAP 3/8"</t>
        </is>
      </c>
      <c r="C30" s="8" t="inlineStr">
        <is>
          <t>Gates</t>
        </is>
      </c>
      <c r="D30" s="9" t="inlineStr">
        <is>
          <t>Bronze</t>
        </is>
      </c>
      <c r="E30" s="8" t="inlineStr">
        <is>
          <t>AGST-P024-035-BRONZE</t>
        </is>
      </c>
      <c r="F30" s="10" t="n">
        <v>758.15</v>
      </c>
      <c r="G30" s="11" t="n"/>
      <c r="H30" s="11" t="n"/>
      <c r="I30" s="11" t="n"/>
      <c r="J30" s="11" t="n"/>
      <c r="K30" s="12" t="n">
        <v>1</v>
      </c>
      <c r="L30" s="12" t="n"/>
      <c r="M30" s="12" t="n"/>
      <c r="N30" s="13">
        <f>IF(AND(H30&gt;0,I30&gt;0,J30&gt;0),ROUND(H30*I30*J30/139,1),"")</f>
        <v/>
      </c>
      <c r="O30" s="13">
        <f>IF(G30="","",IF(N30="",G30,MAX(G30,N30)))</f>
        <v/>
      </c>
    </row>
    <row r="31">
      <c r="A31" s="8" t="inlineStr">
        <is>
          <t>box-alu-40-4x6-ft-diy-pedestrian-gate-kit-single-swing-gap-3-8</t>
        </is>
      </c>
      <c r="B31" s="9" t="inlineStr">
        <is>
          <t>(Box) Alu 40 4x6 ft. DIY Pedestrian gate kit - Single swing - GAP 3/8"</t>
        </is>
      </c>
      <c r="C31" s="8" t="inlineStr">
        <is>
          <t>Gates</t>
        </is>
      </c>
      <c r="D31" s="9" t="inlineStr">
        <is>
          <t>White</t>
        </is>
      </c>
      <c r="E31" s="8" t="inlineStr">
        <is>
          <t>AGST-P024-036-WHITE</t>
        </is>
      </c>
      <c r="F31" s="10" t="n">
        <v>758.15</v>
      </c>
      <c r="G31" s="11" t="n"/>
      <c r="H31" s="11" t="n"/>
      <c r="I31" s="11" t="n"/>
      <c r="J31" s="11" t="n"/>
      <c r="K31" s="12" t="n">
        <v>1</v>
      </c>
      <c r="L31" s="12" t="n"/>
      <c r="M31" s="12" t="n"/>
      <c r="N31" s="13">
        <f>IF(AND(H31&gt;0,I31&gt;0,J31&gt;0),ROUND(H31*I31*J31/139,1),"")</f>
        <v/>
      </c>
      <c r="O31" s="13">
        <f>IF(G31="","",IF(N31="",G31,MAX(G31,N31)))</f>
        <v/>
      </c>
    </row>
    <row r="32">
      <c r="A32" s="8" t="inlineStr">
        <is>
          <t>aluminum-gate-kit-alu40-universal-diy-4-x-6-black</t>
        </is>
      </c>
      <c r="B32" s="9" t="inlineStr">
        <is>
          <t>ALU 40 Black 4x6 ft. Universal DIY Pedestrian Gate Kit - Single Swing - GAP 3/8" or 1/2"</t>
        </is>
      </c>
      <c r="C32" s="8" t="inlineStr">
        <is>
          <t>Gates</t>
        </is>
      </c>
      <c r="D32" s="9" t="inlineStr"/>
      <c r="E32" s="8" t="inlineStr">
        <is>
          <t>26832</t>
        </is>
      </c>
      <c r="F32" s="10" t="n">
        <v>872.76</v>
      </c>
      <c r="G32" s="11" t="n"/>
      <c r="H32" s="11" t="n"/>
      <c r="I32" s="11" t="n"/>
      <c r="J32" s="11" t="n"/>
      <c r="K32" s="12" t="n">
        <v>1</v>
      </c>
      <c r="L32" s="12" t="n"/>
      <c r="M32" s="12" t="n"/>
      <c r="N32" s="13">
        <f>IF(AND(H32&gt;0,I32&gt;0,J32&gt;0),ROUND(H32*I32*J32/139,1),"")</f>
        <v/>
      </c>
      <c r="O32" s="13">
        <f>IF(G32="","",IF(N32="",G32,MAX(G32,N32)))</f>
        <v/>
      </c>
    </row>
    <row r="33">
      <c r="A33" s="8" t="inlineStr">
        <is>
          <t>aluminum-gate-kit-alu40-universal-diy-6-x-6-black</t>
        </is>
      </c>
      <c r="B33" s="9" t="inlineStr">
        <is>
          <t>Aluminum Gate Kit Alu40 Universal DIY 6' x 6' BLACK</t>
        </is>
      </c>
      <c r="C33" s="8" t="inlineStr">
        <is>
          <t>Gates</t>
        </is>
      </c>
      <c r="D33" s="9" t="inlineStr"/>
      <c r="E33" s="8" t="inlineStr">
        <is>
          <t>26834</t>
        </is>
      </c>
      <c r="F33" s="10" t="n">
        <v>1210.19</v>
      </c>
      <c r="G33" s="11" t="n"/>
      <c r="H33" s="11" t="n"/>
      <c r="I33" s="11" t="n"/>
      <c r="J33" s="11" t="n"/>
      <c r="K33" s="12" t="n">
        <v>1</v>
      </c>
      <c r="L33" s="12" t="n"/>
      <c r="M33" s="12" t="n"/>
      <c r="N33" s="13">
        <f>IF(AND(H33&gt;0,I33&gt;0,J33&gt;0),ROUND(H33*I33*J33/139,1),"")</f>
        <v/>
      </c>
      <c r="O33" s="13">
        <f>IF(G33="","",IF(N33="",G33,MAX(G33,N33)))</f>
        <v/>
      </c>
    </row>
    <row r="34">
      <c r="A34" s="8" t="inlineStr">
        <is>
          <t>aluminum-gate-kit-alu40-woodgrain-universal-diy-4-x-6-1-2-gap</t>
        </is>
      </c>
      <c r="B34" s="9" t="inlineStr">
        <is>
          <t>ALU 40 Woodgrain 4x6 ft. Universal DIY Pedestrian Gate Kit - Single Swing - GAP 3/8" or 1/2"</t>
        </is>
      </c>
      <c r="C34" s="8" t="inlineStr">
        <is>
          <t>Gates</t>
        </is>
      </c>
      <c r="D34" s="9" t="inlineStr"/>
      <c r="E34" s="8" t="inlineStr">
        <is>
          <t>AG-39398</t>
        </is>
      </c>
      <c r="F34" s="10" t="n">
        <v>843.16</v>
      </c>
      <c r="G34" s="11" t="n"/>
      <c r="H34" s="11" t="n"/>
      <c r="I34" s="11" t="n"/>
      <c r="J34" s="11" t="n"/>
      <c r="K34" s="12" t="n">
        <v>1</v>
      </c>
      <c r="L34" s="12" t="n"/>
      <c r="M34" s="12" t="n"/>
      <c r="N34" s="13">
        <f>IF(AND(H34&gt;0,I34&gt;0,J34&gt;0),ROUND(H34*I34*J34/139,1),"")</f>
        <v/>
      </c>
      <c r="O34" s="13">
        <f>IF(G34="","",IF(N34="",G34,MAX(G34,N34)))</f>
        <v/>
      </c>
    </row>
    <row r="35">
      <c r="A35" s="8" t="inlineStr">
        <is>
          <t>aluminum-gate-kit-alu40-woodgrain-universal-diy-6-x-6</t>
        </is>
      </c>
      <c r="B35" s="9" t="inlineStr">
        <is>
          <t>ALU 40 Woodgrain 6x6 ft. Universal DIY Pedestrian Gate Kit - Single Swing - GAP 3/8" or 1/2"</t>
        </is>
      </c>
      <c r="C35" s="8" t="inlineStr">
        <is>
          <t>Gates</t>
        </is>
      </c>
      <c r="D35" s="9" t="inlineStr"/>
      <c r="E35" s="8" t="inlineStr">
        <is>
          <t>AG-38548</t>
        </is>
      </c>
      <c r="F35" s="10" t="n">
        <v>1265.55</v>
      </c>
      <c r="G35" s="11" t="n"/>
      <c r="H35" s="11" t="n"/>
      <c r="I35" s="11" t="n"/>
      <c r="J35" s="11" t="n"/>
      <c r="K35" s="12" t="n">
        <v>1</v>
      </c>
      <c r="L35" s="12" t="n"/>
      <c r="M35" s="12" t="n"/>
      <c r="N35" s="13">
        <f>IF(AND(H35&gt;0,I35&gt;0,J35&gt;0),ROUND(H35*I35*J35/139,1),"")</f>
        <v/>
      </c>
      <c r="O35" s="13">
        <f>IF(G35="","",IF(N35="",G35,MAX(G35,N35)))</f>
        <v/>
      </c>
    </row>
    <row r="36">
      <c r="A36" s="8" t="inlineStr">
        <is>
          <t>diy-pad-gate-alu50-woodgrain-universal-diy-4-x-6-gate-kit</t>
        </is>
      </c>
      <c r="B36" s="9" t="inlineStr">
        <is>
          <t>ALU 50-60 T&amp;G Woodgrain 4x6 ft. Universal DIY Pedestrian Gate Kit - Single Swing - NO GAP</t>
        </is>
      </c>
      <c r="C36" s="8" t="inlineStr">
        <is>
          <t>Gates</t>
        </is>
      </c>
      <c r="D36" s="9" t="inlineStr"/>
      <c r="E36" s="8" t="inlineStr">
        <is>
          <t>AG-38607</t>
        </is>
      </c>
      <c r="F36" s="10" t="n">
        <v>939.1799999999999</v>
      </c>
      <c r="G36" s="11" t="n"/>
      <c r="H36" s="11" t="n"/>
      <c r="I36" s="11" t="n"/>
      <c r="J36" s="11" t="n"/>
      <c r="K36" s="12" t="n">
        <v>1</v>
      </c>
      <c r="L36" s="12" t="n"/>
      <c r="M36" s="12" t="n"/>
      <c r="N36" s="13">
        <f>IF(AND(H36&gt;0,I36&gt;0,J36&gt;0),ROUND(H36*I36*J36/139,1),"")</f>
        <v/>
      </c>
      <c r="O36" s="13">
        <f>IF(G36="","",IF(N36="",G36,MAX(G36,N36)))</f>
        <v/>
      </c>
    </row>
    <row r="37">
      <c r="A37" s="8" t="inlineStr">
        <is>
          <t>alu-60-tg-wood-look-6x6-ft-diy-pedestrian-gate-kit</t>
        </is>
      </c>
      <c r="B37" s="9" t="inlineStr">
        <is>
          <t>Alu 60 T&amp;G Wood look 6x6 ft. DIY Pedestrian Gate Kit - Single Swing - No Gap</t>
        </is>
      </c>
      <c r="C37" s="8" t="inlineStr">
        <is>
          <t>Gates</t>
        </is>
      </c>
      <c r="D37" s="9" t="inlineStr"/>
      <c r="E37" s="8" t="inlineStr">
        <is>
          <t>AG-63796</t>
        </is>
      </c>
      <c r="F37" s="10" t="n">
        <v>1383.8</v>
      </c>
      <c r="G37" s="11" t="n"/>
      <c r="H37" s="11" t="n"/>
      <c r="I37" s="11" t="n"/>
      <c r="J37" s="11" t="n"/>
      <c r="K37" s="12" t="n">
        <v>1</v>
      </c>
      <c r="L37" s="12" t="n"/>
      <c r="M37" s="12" t="n"/>
      <c r="N37" s="13">
        <f>IF(AND(H37&gt;0,I37&gt;0,J37&gt;0),ROUND(H37*I37*J37/139,1),"")</f>
        <v/>
      </c>
      <c r="O37" s="13">
        <f>IF(G37="","",IF(N37="",G37,MAX(G37,N37)))</f>
        <v/>
      </c>
    </row>
    <row r="38">
      <c r="A38" s="8" t="inlineStr">
        <is>
          <t>box-alu-40-6x6-ft-diy-pedestrian-gate-kit-single-swing-gap-3-8</t>
        </is>
      </c>
      <c r="B38" s="9" t="inlineStr">
        <is>
          <t>(Box) Alu 40 6x6 ft. DIY Pedestrian gate kit - Single swing - GAP 3/8"</t>
        </is>
      </c>
      <c r="C38" s="8" t="inlineStr">
        <is>
          <t>Gates</t>
        </is>
      </c>
      <c r="D38" s="9" t="inlineStr">
        <is>
          <t>Black</t>
        </is>
      </c>
      <c r="E38" s="8" t="inlineStr">
        <is>
          <t>AGST-P025-037-BLACK</t>
        </is>
      </c>
      <c r="F38" s="10" t="n">
        <v>914.92</v>
      </c>
      <c r="G38" s="11" t="n"/>
      <c r="H38" s="11" t="n"/>
      <c r="I38" s="11" t="n"/>
      <c r="J38" s="11" t="n"/>
      <c r="K38" s="12" t="n">
        <v>1</v>
      </c>
      <c r="L38" s="12" t="n"/>
      <c r="M38" s="12" t="n"/>
      <c r="N38" s="13">
        <f>IF(AND(H38&gt;0,I38&gt;0,J38&gt;0),ROUND(H38*I38*J38/139,1),"")</f>
        <v/>
      </c>
      <c r="O38" s="13">
        <f>IF(G38="","",IF(N38="",G38,MAX(G38,N38)))</f>
        <v/>
      </c>
    </row>
    <row r="39">
      <c r="A39" s="8" t="inlineStr">
        <is>
          <t>box-alu-40-6x6-ft-diy-pedestrian-gate-kit-single-swing-gap-3-8</t>
        </is>
      </c>
      <c r="B39" s="9" t="inlineStr">
        <is>
          <t>(Box) Alu 40 6x6 ft. DIY Pedestrian gate kit - Single swing - GAP 3/8"</t>
        </is>
      </c>
      <c r="C39" s="8" t="inlineStr">
        <is>
          <t>Gates</t>
        </is>
      </c>
      <c r="D39" s="9" t="inlineStr">
        <is>
          <t>Bronze</t>
        </is>
      </c>
      <c r="E39" s="8" t="inlineStr">
        <is>
          <t>AGST-P026-038-BRONZE</t>
        </is>
      </c>
      <c r="F39" s="10" t="n">
        <v>914.92</v>
      </c>
      <c r="G39" s="11" t="n"/>
      <c r="H39" s="11" t="n"/>
      <c r="I39" s="11" t="n"/>
      <c r="J39" s="11" t="n"/>
      <c r="K39" s="12" t="n">
        <v>1</v>
      </c>
      <c r="L39" s="12" t="n"/>
      <c r="M39" s="12" t="n"/>
      <c r="N39" s="13">
        <f>IF(AND(H39&gt;0,I39&gt;0,J39&gt;0),ROUND(H39*I39*J39/139,1),"")</f>
        <v/>
      </c>
      <c r="O39" s="13">
        <f>IF(G39="","",IF(N39="",G39,MAX(G39,N39)))</f>
        <v/>
      </c>
    </row>
    <row r="40">
      <c r="A40" s="8" t="inlineStr">
        <is>
          <t>box-alu-40-6x6-ft-diy-pedestrian-gate-kit-single-swing-gap-3-8</t>
        </is>
      </c>
      <c r="B40" s="9" t="inlineStr">
        <is>
          <t>(Box) Alu 40 6x6 ft. DIY Pedestrian gate kit - Single swing - GAP 3/8"</t>
        </is>
      </c>
      <c r="C40" s="8" t="inlineStr">
        <is>
          <t>Gates</t>
        </is>
      </c>
      <c r="D40" s="9" t="inlineStr">
        <is>
          <t>White</t>
        </is>
      </c>
      <c r="E40" s="8" t="inlineStr">
        <is>
          <t>AGST-P027-039-WHITE</t>
        </is>
      </c>
      <c r="F40" s="10" t="n">
        <v>914.92</v>
      </c>
      <c r="G40" s="11" t="n"/>
      <c r="H40" s="11" t="n"/>
      <c r="I40" s="11" t="n"/>
      <c r="J40" s="11" t="n"/>
      <c r="K40" s="12" t="n">
        <v>1</v>
      </c>
      <c r="L40" s="12" t="n"/>
      <c r="M40" s="12" t="n"/>
      <c r="N40" s="13">
        <f>IF(AND(H40&gt;0,I40&gt;0,J40&gt;0),ROUND(H40*I40*J40/139,1),"")</f>
        <v/>
      </c>
      <c r="O40" s="13">
        <f>IF(G40="","",IF(N40="",G40,MAX(G40,N40)))</f>
        <v/>
      </c>
    </row>
    <row r="41">
      <c r="A41" s="8" t="inlineStr">
        <is>
          <t>box-alu-60-tg-4x6-ft-diy-pedestrian-gate-kit-single-swing-no-gap</t>
        </is>
      </c>
      <c r="B41" s="9" t="inlineStr">
        <is>
          <t>(Box) Alu 60 T&amp;G 4x6 ft. DIY Pedestrian Gate Kit - Single swing - No Gap</t>
        </is>
      </c>
      <c r="C41" s="8" t="inlineStr">
        <is>
          <t>Gates</t>
        </is>
      </c>
      <c r="D41" s="9" t="inlineStr">
        <is>
          <t>Black</t>
        </is>
      </c>
      <c r="E41" s="8" t="inlineStr">
        <is>
          <t>AGST-P028-040-BLACK</t>
        </is>
      </c>
      <c r="F41" s="10" t="n">
        <v>808.75</v>
      </c>
      <c r="G41" s="11" t="n"/>
      <c r="H41" s="11" t="n"/>
      <c r="I41" s="11" t="n"/>
      <c r="J41" s="11" t="n"/>
      <c r="K41" s="12" t="n">
        <v>1</v>
      </c>
      <c r="L41" s="12" t="n"/>
      <c r="M41" s="12" t="n"/>
      <c r="N41" s="13">
        <f>IF(AND(H41&gt;0,I41&gt;0,J41&gt;0),ROUND(H41*I41*J41/139,1),"")</f>
        <v/>
      </c>
      <c r="O41" s="13">
        <f>IF(G41="","",IF(N41="",G41,MAX(G41,N41)))</f>
        <v/>
      </c>
    </row>
    <row r="42">
      <c r="A42" s="8" t="inlineStr">
        <is>
          <t>box-alu-60-tg-4x6-ft-diy-pedestrian-gate-kit-single-swing-no-gap</t>
        </is>
      </c>
      <c r="B42" s="9" t="inlineStr">
        <is>
          <t>(Box) Alu 60 T&amp;G 4x6 ft. DIY Pedestrian Gate Kit - Single swing - No Gap</t>
        </is>
      </c>
      <c r="C42" s="8" t="inlineStr">
        <is>
          <t>Gates</t>
        </is>
      </c>
      <c r="D42" s="9" t="inlineStr">
        <is>
          <t>Bronze</t>
        </is>
      </c>
      <c r="E42" s="8" t="inlineStr">
        <is>
          <t>AGST-P029-041-BRONZE</t>
        </is>
      </c>
      <c r="F42" s="10" t="n">
        <v>808.75</v>
      </c>
      <c r="G42" s="11" t="n"/>
      <c r="H42" s="11" t="n"/>
      <c r="I42" s="11" t="n"/>
      <c r="J42" s="11" t="n"/>
      <c r="K42" s="12" t="n">
        <v>1</v>
      </c>
      <c r="L42" s="12" t="n"/>
      <c r="M42" s="12" t="n"/>
      <c r="N42" s="13">
        <f>IF(AND(H42&gt;0,I42&gt;0,J42&gt;0),ROUND(H42*I42*J42/139,1),"")</f>
        <v/>
      </c>
      <c r="O42" s="13">
        <f>IF(G42="","",IF(N42="",G42,MAX(G42,N42)))</f>
        <v/>
      </c>
    </row>
    <row r="43">
      <c r="A43" s="8" t="inlineStr">
        <is>
          <t>box-alu-60-tg-4x6-ft-diy-pedestrian-gate-kit-single-swing-no-gap</t>
        </is>
      </c>
      <c r="B43" s="9" t="inlineStr">
        <is>
          <t>(Box) Alu 60 T&amp;G 4x6 ft. DIY Pedestrian Gate Kit - Single swing - No Gap</t>
        </is>
      </c>
      <c r="C43" s="8" t="inlineStr">
        <is>
          <t>Gates</t>
        </is>
      </c>
      <c r="D43" s="9" t="inlineStr">
        <is>
          <t>White</t>
        </is>
      </c>
      <c r="E43" s="8" t="inlineStr">
        <is>
          <t>AGST-P030-042-WHITE</t>
        </is>
      </c>
      <c r="F43" s="10" t="n">
        <v>808.75</v>
      </c>
      <c r="G43" s="11" t="n"/>
      <c r="H43" s="11" t="n"/>
      <c r="I43" s="11" t="n"/>
      <c r="J43" s="11" t="n"/>
      <c r="K43" s="12" t="n">
        <v>1</v>
      </c>
      <c r="L43" s="12" t="n"/>
      <c r="M43" s="12" t="n"/>
      <c r="N43" s="13">
        <f>IF(AND(H43&gt;0,I43&gt;0,J43&gt;0),ROUND(H43*I43*J43/139,1),"")</f>
        <v/>
      </c>
      <c r="O43" s="13">
        <f>IF(G43="","",IF(N43="",G43,MAX(G43,N43)))</f>
        <v/>
      </c>
    </row>
    <row r="44">
      <c r="A44" s="8" t="inlineStr">
        <is>
          <t>box-alu-60-tg-6x6-ft-diy-pedestrian-gate-kit-single-swing-no-gap</t>
        </is>
      </c>
      <c r="B44" s="9" t="inlineStr">
        <is>
          <t>(Box) Alu 60 T&amp;G 6x6 ft. DIY Pedestrian Gate Kit - Single swing - No Gap</t>
        </is>
      </c>
      <c r="C44" s="8" t="inlineStr">
        <is>
          <t>Gates</t>
        </is>
      </c>
      <c r="D44" s="9" t="inlineStr">
        <is>
          <t>Black</t>
        </is>
      </c>
      <c r="E44" s="8" t="inlineStr">
        <is>
          <t>AGST-P031-043-BLACK</t>
        </is>
      </c>
      <c r="F44" s="10" t="n">
        <v>976.8200000000001</v>
      </c>
      <c r="G44" s="11" t="n"/>
      <c r="H44" s="11" t="n"/>
      <c r="I44" s="11" t="n"/>
      <c r="J44" s="11" t="n"/>
      <c r="K44" s="12" t="n">
        <v>1</v>
      </c>
      <c r="L44" s="12" t="n"/>
      <c r="M44" s="12" t="n"/>
      <c r="N44" s="13">
        <f>IF(AND(H44&gt;0,I44&gt;0,J44&gt;0),ROUND(H44*I44*J44/139,1),"")</f>
        <v/>
      </c>
      <c r="O44" s="13">
        <f>IF(G44="","",IF(N44="",G44,MAX(G44,N44)))</f>
        <v/>
      </c>
    </row>
    <row r="45">
      <c r="A45" s="8" t="inlineStr">
        <is>
          <t>box-alu-60-tg-6x6-ft-diy-pedestrian-gate-kit-single-swing-no-gap</t>
        </is>
      </c>
      <c r="B45" s="9" t="inlineStr">
        <is>
          <t>(Box) Alu 60 T&amp;G 6x6 ft. DIY Pedestrian Gate Kit - Single swing - No Gap</t>
        </is>
      </c>
      <c r="C45" s="8" t="inlineStr">
        <is>
          <t>Gates</t>
        </is>
      </c>
      <c r="D45" s="9" t="inlineStr">
        <is>
          <t>Bronze</t>
        </is>
      </c>
      <c r="E45" s="8" t="inlineStr">
        <is>
          <t>AGST-P032-044-BRONZE</t>
        </is>
      </c>
      <c r="F45" s="10" t="n">
        <v>976.8200000000001</v>
      </c>
      <c r="G45" s="11" t="n"/>
      <c r="H45" s="11" t="n"/>
      <c r="I45" s="11" t="n"/>
      <c r="J45" s="11" t="n"/>
      <c r="K45" s="12" t="n">
        <v>1</v>
      </c>
      <c r="L45" s="12" t="n"/>
      <c r="M45" s="12" t="n"/>
      <c r="N45" s="13">
        <f>IF(AND(H45&gt;0,I45&gt;0,J45&gt;0),ROUND(H45*I45*J45/139,1),"")</f>
        <v/>
      </c>
      <c r="O45" s="13">
        <f>IF(G45="","",IF(N45="",G45,MAX(G45,N45)))</f>
        <v/>
      </c>
    </row>
    <row r="46">
      <c r="A46" s="8" t="inlineStr">
        <is>
          <t>box-alu-60-tg-6x6-ft-diy-pedestrian-gate-kit-single-swing-no-gap</t>
        </is>
      </c>
      <c r="B46" s="9" t="inlineStr">
        <is>
          <t>(Box) Alu 60 T&amp;G 6x6 ft. DIY Pedestrian Gate Kit - Single swing - No Gap</t>
        </is>
      </c>
      <c r="C46" s="8" t="inlineStr">
        <is>
          <t>Gates</t>
        </is>
      </c>
      <c r="D46" s="9" t="inlineStr">
        <is>
          <t>White</t>
        </is>
      </c>
      <c r="E46" s="8" t="inlineStr">
        <is>
          <t>AGST-P033-045-WHITE</t>
        </is>
      </c>
      <c r="F46" s="10" t="n">
        <v>976.8200000000001</v>
      </c>
      <c r="G46" s="11" t="n"/>
      <c r="H46" s="11" t="n"/>
      <c r="I46" s="11" t="n"/>
      <c r="J46" s="11" t="n"/>
      <c r="K46" s="12" t="n">
        <v>1</v>
      </c>
      <c r="L46" s="12" t="n"/>
      <c r="M46" s="12" t="n"/>
      <c r="N46" s="13">
        <f>IF(AND(H46&gt;0,I46&gt;0,J46&gt;0),ROUND(H46*I46*J46/139,1),"")</f>
        <v/>
      </c>
      <c r="O46" s="13">
        <f>IF(G46="","",IF(N46="",G46,MAX(G46,N46)))</f>
        <v/>
      </c>
    </row>
    <row r="47">
      <c r="A47" s="8" t="inlineStr">
        <is>
          <t>hd-only-gate-frame-kit-4-x-6-black</t>
        </is>
      </c>
      <c r="B47" s="9" t="inlineStr">
        <is>
          <t>HD 4 ft x 6 ft Aluminum Gate Frame Kit</t>
        </is>
      </c>
      <c r="C47" s="8" t="inlineStr">
        <is>
          <t>Gates</t>
        </is>
      </c>
      <c r="D47" s="9" t="inlineStr"/>
      <c r="E47" s="8" t="inlineStr">
        <is>
          <t>AGST-P089-203</t>
        </is>
      </c>
      <c r="F47" s="10" t="n">
        <v>939.3</v>
      </c>
      <c r="G47" s="11" t="n"/>
      <c r="H47" s="11" t="n"/>
      <c r="I47" s="11" t="n"/>
      <c r="J47" s="11" t="n"/>
      <c r="K47" s="12" t="n">
        <v>1</v>
      </c>
      <c r="L47" s="12" t="n"/>
      <c r="M47" s="12" t="n"/>
      <c r="N47" s="13">
        <f>IF(AND(H47&gt;0,I47&gt;0,J47&gt;0),ROUND(H47*I47*J47/139,1),"")</f>
        <v/>
      </c>
      <c r="O47" s="13">
        <f>IF(G47="","",IF(N47="",G47,MAX(G47,N47)))</f>
        <v/>
      </c>
    </row>
    <row r="48">
      <c r="A48" s="8" t="inlineStr">
        <is>
          <t>hd-only-gate-frame-kit-6-x-6-black</t>
        </is>
      </c>
      <c r="B48" s="9" t="inlineStr">
        <is>
          <t>HD 6 ft x 6 ft Aluminum Gate Frame Kit</t>
        </is>
      </c>
      <c r="C48" s="8" t="inlineStr">
        <is>
          <t>Gates</t>
        </is>
      </c>
      <c r="D48" s="9" t="inlineStr"/>
      <c r="E48" s="8" t="inlineStr">
        <is>
          <t>AGST-P089-204</t>
        </is>
      </c>
      <c r="F48" s="10" t="n">
        <v>1023.84</v>
      </c>
      <c r="G48" s="11" t="n"/>
      <c r="H48" s="11" t="n"/>
      <c r="I48" s="11" t="n"/>
      <c r="J48" s="11" t="n"/>
      <c r="K48" s="12" t="n">
        <v>1</v>
      </c>
      <c r="L48" s="12" t="n"/>
      <c r="M48" s="12" t="n"/>
      <c r="N48" s="13">
        <f>IF(AND(H48&gt;0,I48&gt;0,J48&gt;0),ROUND(H48*I48*J48/139,1),"")</f>
        <v/>
      </c>
      <c r="O48" s="13">
        <f>IF(G48="","",IF(N48="",G48,MAX(G48,N48)))</f>
        <v/>
      </c>
    </row>
    <row r="49">
      <c r="A49" s="8" t="inlineStr">
        <is>
          <t>hd-only-gate-frame-kit-6-x-8-black</t>
        </is>
      </c>
      <c r="B49" s="9" t="inlineStr">
        <is>
          <t>HD 6 ft x 8 ft Aluminum Gate Frame Kit</t>
        </is>
      </c>
      <c r="C49" s="8" t="inlineStr">
        <is>
          <t>Gates</t>
        </is>
      </c>
      <c r="D49" s="9" t="inlineStr"/>
      <c r="E49" s="8" t="inlineStr">
        <is>
          <t>AGST-P090-205</t>
        </is>
      </c>
      <c r="F49" s="10" t="n">
        <v>1320.64</v>
      </c>
      <c r="G49" s="11" t="n"/>
      <c r="H49" s="11" t="n"/>
      <c r="I49" s="11" t="n"/>
      <c r="J49" s="11" t="n"/>
      <c r="K49" s="12" t="n">
        <v>1</v>
      </c>
      <c r="L49" s="12" t="n"/>
      <c r="M49" s="12" t="n"/>
      <c r="N49" s="13">
        <f>IF(AND(H49&gt;0,I49&gt;0,J49&gt;0),ROUND(H49*I49*J49/139,1),"")</f>
        <v/>
      </c>
      <c r="O49" s="13">
        <f>IF(G49="","",IF(N49="",G49,MAX(G49,N49)))</f>
        <v/>
      </c>
    </row>
    <row r="50">
      <c r="A50" s="8" t="inlineStr">
        <is>
          <t>2x4-in-x-12-ft-hd-aluminum-gate-frame-090-walls-black</t>
        </is>
      </c>
      <c r="B50" s="9" t="inlineStr">
        <is>
          <t>2x4 in. x 12 ft. HD Aluminum Gate Frame (.090 walls) - Black</t>
        </is>
      </c>
      <c r="C50" s="8" t="inlineStr">
        <is>
          <t>Gates</t>
        </is>
      </c>
      <c r="D50" s="9" t="inlineStr"/>
      <c r="E50" s="8" t="inlineStr">
        <is>
          <t>AGST-P088-200</t>
        </is>
      </c>
      <c r="F50" s="10" t="n">
        <v>243.81</v>
      </c>
      <c r="G50" s="11" t="n"/>
      <c r="H50" s="11" t="n"/>
      <c r="I50" s="11" t="n"/>
      <c r="J50" s="11" t="n"/>
      <c r="K50" s="12" t="n">
        <v>1</v>
      </c>
      <c r="L50" s="12" t="n"/>
      <c r="M50" s="12" t="n"/>
      <c r="N50" s="13">
        <f>IF(AND(H50&gt;0,I50&gt;0,J50&gt;0),ROUND(H50*I50*J50/139,1),"")</f>
        <v/>
      </c>
      <c r="O50" s="13">
        <f>IF(G50="","",IF(N50="",G50,MAX(G50,N50)))</f>
        <v/>
      </c>
    </row>
    <row r="51">
      <c r="A51" s="8" t="inlineStr">
        <is>
          <t>2x4-in-x-20ft-hd-aluminum-gate-frame-090-walls-black</t>
        </is>
      </c>
      <c r="B51" s="9" t="inlineStr">
        <is>
          <t>2x4 in. x 20ft. HD Aluminum Gate Frame (.090 walls) - Black</t>
        </is>
      </c>
      <c r="C51" s="8" t="inlineStr">
        <is>
          <t>Gates</t>
        </is>
      </c>
      <c r="D51" s="9" t="inlineStr"/>
      <c r="E51" s="8" t="inlineStr">
        <is>
          <t>AGST-P088-201</t>
        </is>
      </c>
      <c r="F51" s="10" t="n">
        <v>364.46</v>
      </c>
      <c r="G51" s="11" t="n"/>
      <c r="H51" s="11" t="n"/>
      <c r="I51" s="11" t="n"/>
      <c r="J51" s="11" t="n"/>
      <c r="K51" s="12" t="n">
        <v>1</v>
      </c>
      <c r="L51" s="12" t="n"/>
      <c r="M51" s="12" t="n"/>
      <c r="N51" s="13">
        <f>IF(AND(H51&gt;0,I51&gt;0,J51&gt;0),ROUND(H51*I51*J51/139,1),"")</f>
        <v/>
      </c>
      <c r="O51" s="13">
        <f>IF(G51="","",IF(N51="",G51,MAX(G51,N51)))</f>
        <v/>
      </c>
    </row>
    <row r="52">
      <c r="A52" s="8" t="inlineStr">
        <is>
          <t>2x4-in-x-24-ft-hd-aluminum-gate-frame-125-walls-black</t>
        </is>
      </c>
      <c r="B52" s="9" t="inlineStr">
        <is>
          <t>2x4 in. x 24 ft. HD Aluminum Gate Frame (.125 walls) - Black</t>
        </is>
      </c>
      <c r="C52" s="8" t="inlineStr">
        <is>
          <t>Gates</t>
        </is>
      </c>
      <c r="D52" s="9" t="inlineStr"/>
      <c r="E52" s="8" t="inlineStr">
        <is>
          <t>AGST-P088-202</t>
        </is>
      </c>
      <c r="F52" s="10" t="n">
        <v>407</v>
      </c>
      <c r="G52" s="11" t="n"/>
      <c r="H52" s="11" t="n"/>
      <c r="I52" s="11" t="n"/>
      <c r="J52" s="11" t="n"/>
      <c r="K52" s="12" t="n">
        <v>1</v>
      </c>
      <c r="L52" s="12" t="n"/>
      <c r="M52" s="12" t="n"/>
      <c r="N52" s="13">
        <f>IF(AND(H52&gt;0,I52&gt;0,J52&gt;0),ROUND(H52*I52*J52/139,1),"")</f>
        <v/>
      </c>
      <c r="O52" s="13">
        <f>IF(G52="","",IF(N52="",G52,MAX(G52,N52)))</f>
        <v/>
      </c>
    </row>
    <row r="53">
      <c r="A53" s="8" t="inlineStr">
        <is>
          <t>hd-s-g-gate-alu20-slat-contractor-line-12-x-6-horizontal-sliding-gate-kit</t>
        </is>
      </c>
      <c r="B53" s="9" t="inlineStr">
        <is>
          <t>Aluminum Gate Kit Alu20 SLAT Contractor Line 12' x 6' Horizontal Sliding</t>
        </is>
      </c>
      <c r="C53" s="8" t="inlineStr">
        <is>
          <t>Gates</t>
        </is>
      </c>
      <c r="D53" s="9" t="inlineStr"/>
      <c r="E53" s="8" t="inlineStr">
        <is>
          <t>AG-26860</t>
        </is>
      </c>
      <c r="F53" s="10" t="n">
        <v>3895.44</v>
      </c>
      <c r="G53" s="11" t="n"/>
      <c r="H53" s="11" t="n"/>
      <c r="I53" s="11" t="n"/>
      <c r="J53" s="11" t="n"/>
      <c r="K53" s="12" t="n">
        <v>1</v>
      </c>
      <c r="L53" s="12" t="n"/>
      <c r="M53" s="12" t="n"/>
      <c r="N53" s="13">
        <f>IF(AND(H53&gt;0,I53&gt;0,J53&gt;0),ROUND(H53*I53*J53/139,1),"")</f>
        <v/>
      </c>
      <c r="O53" s="13">
        <f>IF(G53="","",IF(N53="",G53,MAX(G53,N53)))</f>
        <v/>
      </c>
    </row>
    <row r="54">
      <c r="A54" s="8" t="inlineStr">
        <is>
          <t>aluminum-gate-kit-alu20-slat-contractor-line-18-x-6-horizontal-sliding</t>
        </is>
      </c>
      <c r="B54" s="9" t="inlineStr">
        <is>
          <t>Aluminum Gate Kit Alu20 SLAT Contractor Line 18' x 6' Horizontal Sliding</t>
        </is>
      </c>
      <c r="C54" s="8" t="inlineStr">
        <is>
          <t>Gates</t>
        </is>
      </c>
      <c r="D54" s="9" t="inlineStr"/>
      <c r="E54" s="8" t="inlineStr">
        <is>
          <t>26862</t>
        </is>
      </c>
      <c r="F54" s="10" t="n">
        <v>5003.92</v>
      </c>
      <c r="G54" s="11" t="n"/>
      <c r="H54" s="11" t="n"/>
      <c r="I54" s="11" t="n"/>
      <c r="J54" s="11" t="n"/>
      <c r="K54" s="12" t="n">
        <v>1</v>
      </c>
      <c r="L54" s="12" t="n"/>
      <c r="M54" s="12" t="n"/>
      <c r="N54" s="13">
        <f>IF(AND(H54&gt;0,I54&gt;0,J54&gt;0),ROUND(H54*I54*J54/139,1),"")</f>
        <v/>
      </c>
      <c r="O54" s="13">
        <f>IF(G54="","",IF(N54="",G54,MAX(G54,N54)))</f>
        <v/>
      </c>
    </row>
    <row r="55">
      <c r="A55" s="8" t="inlineStr">
        <is>
          <t>aluminum-gate-kit-alu40-12x6-s-g-hd-usa-sliding</t>
        </is>
      </c>
      <c r="B55" s="9" t="inlineStr">
        <is>
          <t>Aluminum Gate Kit Alu40 12X6 S.G HD USA SLIDING</t>
        </is>
      </c>
      <c r="C55" s="8" t="inlineStr">
        <is>
          <t>Gates</t>
        </is>
      </c>
      <c r="D55" s="9" t="inlineStr"/>
      <c r="E55" s="8" t="inlineStr">
        <is>
          <t>AG-38397</t>
        </is>
      </c>
      <c r="F55" s="10" t="n">
        <v>3897.82</v>
      </c>
      <c r="G55" s="11" t="n"/>
      <c r="H55" s="11" t="n"/>
      <c r="I55" s="11" t="n"/>
      <c r="J55" s="11" t="n"/>
      <c r="K55" s="12" t="n">
        <v>1</v>
      </c>
      <c r="L55" s="12" t="n"/>
      <c r="M55" s="12" t="n"/>
      <c r="N55" s="13">
        <f>IF(AND(H55&gt;0,I55&gt;0,J55&gt;0),ROUND(H55*I55*J55/139,1),"")</f>
        <v/>
      </c>
      <c r="O55" s="13">
        <f>IF(G55="","",IF(N55="",G55,MAX(G55,N55)))</f>
        <v/>
      </c>
    </row>
    <row r="56">
      <c r="A56" s="8" t="inlineStr">
        <is>
          <t>aluminu-gate-kit-alu40-18x6-s-g-hd-usa-sliding</t>
        </is>
      </c>
      <c r="B56" s="9" t="inlineStr">
        <is>
          <t>Aluminu Gate Kit Alu40 18X6 S.G HD USA SLIDING</t>
        </is>
      </c>
      <c r="C56" s="8" t="inlineStr">
        <is>
          <t>Gates</t>
        </is>
      </c>
      <c r="D56" s="9" t="inlineStr"/>
      <c r="E56" s="8" t="inlineStr">
        <is>
          <t>AG-38394</t>
        </is>
      </c>
      <c r="F56" s="10" t="n">
        <v>4954.87</v>
      </c>
      <c r="G56" s="11" t="n"/>
      <c r="H56" s="11" t="n"/>
      <c r="I56" s="11" t="n"/>
      <c r="J56" s="11" t="n"/>
      <c r="K56" s="12" t="n">
        <v>1</v>
      </c>
      <c r="L56" s="12" t="n"/>
      <c r="M56" s="12" t="n"/>
      <c r="N56" s="13">
        <f>IF(AND(H56&gt;0,I56&gt;0,J56&gt;0),ROUND(H56*I56*J56/139,1),"")</f>
        <v/>
      </c>
      <c r="O56" s="13">
        <f>IF(G56="","",IF(N56="",G56,MAX(G56,N56)))</f>
        <v/>
      </c>
    </row>
    <row r="57">
      <c r="A57" s="8" t="inlineStr">
        <is>
          <t>aluminum-gate-kit-alu40-12x6-s-g-hd-usa-sliding-woodgrain</t>
        </is>
      </c>
      <c r="B57" s="9" t="inlineStr">
        <is>
          <t>ALU 40 Horizontal GAP 3/8" Wood Grain 12X6 ft. Heavy-Duty Sliding Gate - Wood Grain</t>
        </is>
      </c>
      <c r="C57" s="8" t="inlineStr">
        <is>
          <t>Gates</t>
        </is>
      </c>
      <c r="D57" s="9" t="inlineStr"/>
      <c r="E57" s="8" t="inlineStr">
        <is>
          <t>AG-60355</t>
        </is>
      </c>
      <c r="F57" s="10" t="n">
        <v>4196.7</v>
      </c>
      <c r="G57" s="11" t="n"/>
      <c r="H57" s="11" t="n"/>
      <c r="I57" s="11" t="n"/>
      <c r="J57" s="11" t="n"/>
      <c r="K57" s="12" t="n">
        <v>1</v>
      </c>
      <c r="L57" s="12" t="n"/>
      <c r="M57" s="12" t="n"/>
      <c r="N57" s="13">
        <f>IF(AND(H57&gt;0,I57&gt;0,J57&gt;0),ROUND(H57*I57*J57/139,1),"")</f>
        <v/>
      </c>
      <c r="O57" s="13">
        <f>IF(G57="","",IF(N57="",G57,MAX(G57,N57)))</f>
        <v/>
      </c>
    </row>
    <row r="58">
      <c r="A58" s="8" t="inlineStr">
        <is>
          <t>aluminu-gate-kit-alu40-18x6-s-g-hd-usa-sliding-woodgrain</t>
        </is>
      </c>
      <c r="B58" s="9" t="inlineStr">
        <is>
          <t>ALU 40 Horizontal GAP 3/8" Wood Grain 18X6 ft. Heavy-Duty Sliding Gate - Wood Grain</t>
        </is>
      </c>
      <c r="C58" s="8" t="inlineStr">
        <is>
          <t>Gates</t>
        </is>
      </c>
      <c r="D58" s="9" t="inlineStr"/>
      <c r="E58" s="8" t="inlineStr">
        <is>
          <t>AG-60357</t>
        </is>
      </c>
      <c r="F58" s="10" t="n">
        <v>5420.9</v>
      </c>
      <c r="G58" s="11" t="n"/>
      <c r="H58" s="11" t="n"/>
      <c r="I58" s="11" t="n"/>
      <c r="J58" s="11" t="n"/>
      <c r="K58" s="12" t="n">
        <v>1</v>
      </c>
      <c r="L58" s="12" t="n"/>
      <c r="M58" s="12" t="n"/>
      <c r="N58" s="13">
        <f>IF(AND(H58&gt;0,I58&gt;0,J58&gt;0),ROUND(H58*I58*J58/139,1),"")</f>
        <v/>
      </c>
      <c r="O58" s="13">
        <f>IF(G58="","",IF(N58="",G58,MAX(G58,N58)))</f>
        <v/>
      </c>
    </row>
    <row r="59">
      <c r="A59" s="8" t="inlineStr">
        <is>
          <t>alu60-tg-horizontal-nogap-12x6-black</t>
        </is>
      </c>
      <c r="B59" s="9" t="inlineStr">
        <is>
          <t>ALU 60 T&amp;G Horizontal NO GAP Black 12x6 ft. Heavy-Duty Sliding Gate - Black</t>
        </is>
      </c>
      <c r="C59" s="8" t="inlineStr">
        <is>
          <t>Gates</t>
        </is>
      </c>
      <c r="D59" s="9" t="inlineStr"/>
      <c r="E59" s="8" t="inlineStr">
        <is>
          <t>AG-60359</t>
        </is>
      </c>
      <c r="F59" s="10" t="n">
        <v>4408.87</v>
      </c>
      <c r="G59" s="11" t="n"/>
      <c r="H59" s="11" t="n"/>
      <c r="I59" s="11" t="n"/>
      <c r="J59" s="11" t="n"/>
      <c r="K59" s="12" t="n">
        <v>1</v>
      </c>
      <c r="L59" s="12" t="n"/>
      <c r="M59" s="12" t="n"/>
      <c r="N59" s="13">
        <f>IF(AND(H59&gt;0,I59&gt;0,J59&gt;0),ROUND(H59*I59*J59/139,1),"")</f>
        <v/>
      </c>
      <c r="O59" s="13">
        <f>IF(G59="","",IF(N59="",G59,MAX(G59,N59)))</f>
        <v/>
      </c>
    </row>
    <row r="60">
      <c r="A60" s="8" t="inlineStr">
        <is>
          <t>alu-60-tg-horizontal-no-gap-black-18x6-ft-heavy-duty-sliding-gate-black</t>
        </is>
      </c>
      <c r="B60" s="9" t="inlineStr">
        <is>
          <t>ALU 60 T&amp;G Horizontal NO GAP Black 18x6 ft. Heavy-Duty Sliding Gate - Black</t>
        </is>
      </c>
      <c r="C60" s="8" t="inlineStr">
        <is>
          <t>Gates</t>
        </is>
      </c>
      <c r="D60" s="9" t="inlineStr"/>
      <c r="E60" s="8" t="inlineStr">
        <is>
          <t>AG-60361</t>
        </is>
      </c>
      <c r="F60" s="10" t="n">
        <v>5699.37</v>
      </c>
      <c r="G60" s="11" t="n"/>
      <c r="H60" s="11" t="n"/>
      <c r="I60" s="11" t="n"/>
      <c r="J60" s="11" t="n"/>
      <c r="K60" s="12" t="n">
        <v>1</v>
      </c>
      <c r="L60" s="12" t="n"/>
      <c r="M60" s="12" t="n"/>
      <c r="N60" s="13">
        <f>IF(AND(H60&gt;0,I60&gt;0,J60&gt;0),ROUND(H60*I60*J60/139,1),"")</f>
        <v/>
      </c>
      <c r="O60" s="13">
        <f>IF(G60="","",IF(N60="",G60,MAX(G60,N60)))</f>
        <v/>
      </c>
    </row>
    <row r="61">
      <c r="A61" s="8" t="inlineStr">
        <is>
          <t>aluminum-gate-kit-alu50-tg-woodgrain-12x6-hd-usa-sliding</t>
        </is>
      </c>
      <c r="B61" s="9" t="inlineStr">
        <is>
          <t>Aluminum Gate Kit Alu50 T&amp;G woodgrain 12X6 HD USA SLIDING</t>
        </is>
      </c>
      <c r="C61" s="8" t="inlineStr">
        <is>
          <t>Gates</t>
        </is>
      </c>
      <c r="D61" s="9" t="inlineStr"/>
      <c r="E61" s="8" t="inlineStr">
        <is>
          <t>AG-38615</t>
        </is>
      </c>
      <c r="F61" s="10" t="n">
        <v>4559.35</v>
      </c>
      <c r="G61" s="11" t="n"/>
      <c r="H61" s="11" t="n"/>
      <c r="I61" s="11" t="n"/>
      <c r="J61" s="11" t="n"/>
      <c r="K61" s="12" t="n">
        <v>1</v>
      </c>
      <c r="L61" s="12" t="n"/>
      <c r="M61" s="12" t="n"/>
      <c r="N61" s="13">
        <f>IF(AND(H61&gt;0,I61&gt;0,J61&gt;0),ROUND(H61*I61*J61/139,1),"")</f>
        <v/>
      </c>
      <c r="O61" s="13">
        <f>IF(G61="","",IF(N61="",G61,MAX(G61,N61)))</f>
        <v/>
      </c>
    </row>
    <row r="62">
      <c r="A62" s="8" t="inlineStr">
        <is>
          <t>aluminum-gate-kite-alu50-tg-woodgrain-18x6-hd-usa-sliding</t>
        </is>
      </c>
      <c r="B62" s="9" t="inlineStr">
        <is>
          <t>Aluminum Gate Kite Alu50 T&amp;G Woodgrain 18X6 HD USA SLIDING</t>
        </is>
      </c>
      <c r="C62" s="8" t="inlineStr">
        <is>
          <t>Gates</t>
        </is>
      </c>
      <c r="D62" s="9" t="inlineStr"/>
      <c r="E62" s="8" t="inlineStr">
        <is>
          <t>AG-38627</t>
        </is>
      </c>
      <c r="F62" s="10" t="n">
        <v>5912.55</v>
      </c>
      <c r="G62" s="11" t="n"/>
      <c r="H62" s="11" t="n"/>
      <c r="I62" s="11" t="n"/>
      <c r="J62" s="11" t="n"/>
      <c r="K62" s="12" t="n">
        <v>1</v>
      </c>
      <c r="L62" s="12" t="n"/>
      <c r="M62" s="12" t="n"/>
      <c r="N62" s="13">
        <f>IF(AND(H62&gt;0,I62&gt;0,J62&gt;0),ROUND(H62*I62*J62/139,1),"")</f>
        <v/>
      </c>
      <c r="O62" s="13">
        <f>IF(G62="","",IF(N62="",G62,MAX(G62,N62)))</f>
        <v/>
      </c>
    </row>
    <row r="63">
      <c r="A63" s="8" t="inlineStr">
        <is>
          <t>box-diy-sliding-gate-19-ft-x-6-ft-black</t>
        </is>
      </c>
      <c r="B63" s="9" t="inlineStr">
        <is>
          <t>(Box) DIY Sliding Gate 19 ft x 6 ft Height - Black</t>
        </is>
      </c>
      <c r="C63" s="8" t="inlineStr">
        <is>
          <t>Gates</t>
        </is>
      </c>
      <c r="D63" s="9" t="inlineStr">
        <is>
          <t>With Alu 20 6ft slats</t>
        </is>
      </c>
      <c r="E63" s="8" t="inlineStr">
        <is>
          <t>AG-63798-1</t>
        </is>
      </c>
      <c r="F63" s="10" t="n">
        <v>3843.36</v>
      </c>
      <c r="G63" s="11" t="n"/>
      <c r="H63" s="11" t="n"/>
      <c r="I63" s="11" t="n"/>
      <c r="J63" s="11" t="n"/>
      <c r="K63" s="12" t="n">
        <v>1</v>
      </c>
      <c r="L63" s="12" t="n"/>
      <c r="M63" s="12" t="n"/>
      <c r="N63" s="13">
        <f>IF(AND(H63&gt;0,I63&gt;0,J63&gt;0),ROUND(H63*I63*J63/139,1),"")</f>
        <v/>
      </c>
      <c r="O63" s="13">
        <f>IF(G63="","",IF(N63="",G63,MAX(G63,N63)))</f>
        <v/>
      </c>
    </row>
    <row r="64">
      <c r="A64" s="8" t="inlineStr">
        <is>
          <t>box-diy-sliding-gate-19-ft-x-6-ft-black</t>
        </is>
      </c>
      <c r="B64" s="9" t="inlineStr">
        <is>
          <t>(Box) DIY Sliding Gate 19 ft x 6 ft Height - Black</t>
        </is>
      </c>
      <c r="C64" s="8" t="inlineStr">
        <is>
          <t>Gates</t>
        </is>
      </c>
      <c r="D64" s="9" t="inlineStr">
        <is>
          <t>Frames only (no motor)</t>
        </is>
      </c>
      <c r="E64" s="8" t="inlineStr">
        <is>
          <t>AG-63798-2</t>
        </is>
      </c>
      <c r="F64" s="10" t="n">
        <v>2093.15</v>
      </c>
      <c r="G64" s="11" t="n"/>
      <c r="H64" s="11" t="n"/>
      <c r="I64" s="11" t="n"/>
      <c r="J64" s="11" t="n"/>
      <c r="K64" s="12" t="n">
        <v>1</v>
      </c>
      <c r="L64" s="12" t="n"/>
      <c r="M64" s="12" t="n"/>
      <c r="N64" s="13">
        <f>IF(AND(H64&gt;0,I64&gt;0,J64&gt;0),ROUND(H64*I64*J64/139,1),"")</f>
        <v/>
      </c>
      <c r="O64" s="13">
        <f>IF(G64="","",IF(N64="",G64,MAX(G64,N64)))</f>
        <v/>
      </c>
    </row>
    <row r="65">
      <c r="A65" s="8" t="inlineStr">
        <is>
          <t>box-diy-sliding-gate-19-ft-x-6-ft-black</t>
        </is>
      </c>
      <c r="B65" s="9" t="inlineStr">
        <is>
          <t>(Box) DIY Sliding Gate 19 ft x 6 ft Height - Black</t>
        </is>
      </c>
      <c r="C65" s="8" t="inlineStr">
        <is>
          <t>Gates</t>
        </is>
      </c>
      <c r="D65" s="9" t="inlineStr">
        <is>
          <t>With Alu 40 8ft slats</t>
        </is>
      </c>
      <c r="E65" s="8" t="inlineStr">
        <is>
          <t>AG-63798-3</t>
        </is>
      </c>
      <c r="F65" s="10" t="n">
        <v>3633.3</v>
      </c>
      <c r="G65" s="11" t="n"/>
      <c r="H65" s="11" t="n"/>
      <c r="I65" s="11" t="n"/>
      <c r="J65" s="11" t="n"/>
      <c r="K65" s="12" t="n">
        <v>1</v>
      </c>
      <c r="L65" s="12" t="n"/>
      <c r="M65" s="12" t="n"/>
      <c r="N65" s="13">
        <f>IF(AND(H65&gt;0,I65&gt;0,J65&gt;0),ROUND(H65*I65*J65/139,1),"")</f>
        <v/>
      </c>
      <c r="O65" s="13">
        <f>IF(G65="","",IF(N65="",G65,MAX(G65,N65)))</f>
        <v/>
      </c>
    </row>
    <row r="66">
      <c r="A66" s="8" t="inlineStr">
        <is>
          <t>box-diy-sliding-gate-19-ft-x-6-ft-black</t>
        </is>
      </c>
      <c r="B66" s="9" t="inlineStr">
        <is>
          <t>(Box) DIY Sliding Gate 19 ft x 6 ft Height - Black</t>
        </is>
      </c>
      <c r="C66" s="8" t="inlineStr">
        <is>
          <t>Gates</t>
        </is>
      </c>
      <c r="D66" s="9" t="inlineStr">
        <is>
          <t>With Alu 60 T&amp;G 8ft slats</t>
        </is>
      </c>
      <c r="E66" s="8" t="inlineStr">
        <is>
          <t>AG-63798-4</t>
        </is>
      </c>
      <c r="F66" s="10" t="n">
        <v>3647.2</v>
      </c>
      <c r="G66" s="11" t="n"/>
      <c r="H66" s="11" t="n"/>
      <c r="I66" s="11" t="n"/>
      <c r="J66" s="11" t="n"/>
      <c r="K66" s="12" t="n">
        <v>1</v>
      </c>
      <c r="L66" s="12" t="n"/>
      <c r="M66" s="12" t="n"/>
      <c r="N66" s="13">
        <f>IF(AND(H66&gt;0,I66&gt;0,J66&gt;0),ROUND(H66*I66*J66/139,1),"")</f>
        <v/>
      </c>
      <c r="O66" s="13">
        <f>IF(G66="","",IF(N66="",G66,MAX(G66,N66)))</f>
        <v/>
      </c>
    </row>
    <row r="67">
      <c r="A67" s="8" t="inlineStr">
        <is>
          <t>inner-connector</t>
        </is>
      </c>
      <c r="B67" s="9" t="inlineStr">
        <is>
          <t>Inner connector</t>
        </is>
      </c>
      <c r="C67" s="8" t="inlineStr">
        <is>
          <t>Gates</t>
        </is>
      </c>
      <c r="D67" s="9" t="inlineStr"/>
      <c r="E67" s="8" t="inlineStr">
        <is>
          <t>AGST-P084-183</t>
        </is>
      </c>
      <c r="F67" s="10" t="n">
        <v>10.51</v>
      </c>
      <c r="G67" s="11" t="n"/>
      <c r="H67" s="11" t="n"/>
      <c r="I67" s="11" t="n"/>
      <c r="J67" s="11" t="n"/>
      <c r="K67" s="12" t="n">
        <v>1</v>
      </c>
      <c r="L67" s="12" t="n"/>
      <c r="M67" s="12" t="n"/>
      <c r="N67" s="13">
        <f>IF(AND(H67&gt;0,I67&gt;0,J67&gt;0),ROUND(H67*I67*J67/139,1),"")</f>
        <v/>
      </c>
      <c r="O67" s="13">
        <f>IF(G67="","",IF(N67="",G67,MAX(G67,N67)))</f>
        <v/>
      </c>
    </row>
    <row r="68">
      <c r="A68" s="8" t="inlineStr">
        <is>
          <t>guide-roller-6-pc-black</t>
        </is>
      </c>
      <c r="B68" s="9" t="inlineStr">
        <is>
          <t>Guide Roller 6" PC Black</t>
        </is>
      </c>
      <c r="C68" s="8" t="inlineStr">
        <is>
          <t>Gates</t>
        </is>
      </c>
      <c r="D68" s="9" t="inlineStr"/>
      <c r="E68" s="8" t="inlineStr">
        <is>
          <t>26649</t>
        </is>
      </c>
      <c r="F68" s="10" t="n">
        <v>243.25</v>
      </c>
      <c r="G68" s="11" t="n"/>
      <c r="H68" s="11" t="n"/>
      <c r="I68" s="11" t="n"/>
      <c r="J68" s="11" t="n"/>
      <c r="K68" s="12" t="n">
        <v>1</v>
      </c>
      <c r="L68" s="12" t="n"/>
      <c r="M68" s="12" t="n"/>
      <c r="N68" s="13">
        <f>IF(AND(H68&gt;0,I68&gt;0,J68&gt;0),ROUND(H68*I68*J68/139,1),"")</f>
        <v/>
      </c>
      <c r="O68" s="13">
        <f>IF(G68="","",IF(N68="",G68,MAX(G68,N68)))</f>
        <v/>
      </c>
    </row>
    <row r="69">
      <c r="A69" s="8" t="inlineStr">
        <is>
          <t>hd-l-small-bracket</t>
        </is>
      </c>
      <c r="B69" s="9" t="inlineStr">
        <is>
          <t>HD L - Small Bracket</t>
        </is>
      </c>
      <c r="C69" s="8" t="inlineStr">
        <is>
          <t>Gates</t>
        </is>
      </c>
      <c r="D69" s="9" t="inlineStr"/>
      <c r="E69" s="8" t="inlineStr">
        <is>
          <t>AGST-P084-185</t>
        </is>
      </c>
      <c r="F69" s="10" t="n">
        <v>33.42</v>
      </c>
      <c r="G69" s="11" t="n"/>
      <c r="H69" s="11" t="n"/>
      <c r="I69" s="11" t="n"/>
      <c r="J69" s="11" t="n"/>
      <c r="K69" s="12" t="n">
        <v>1</v>
      </c>
      <c r="L69" s="12" t="n"/>
      <c r="M69" s="12" t="n"/>
      <c r="N69" s="13">
        <f>IF(AND(H69&gt;0,I69&gt;0,J69&gt;0),ROUND(H69*I69*J69/139,1),"")</f>
        <v/>
      </c>
      <c r="O69" s="13">
        <f>IF(G69="","",IF(N69="",G69,MAX(G69,N69)))</f>
        <v/>
      </c>
    </row>
    <row r="70">
      <c r="A70" s="8" t="inlineStr">
        <is>
          <t>hd-l-big-bracket</t>
        </is>
      </c>
      <c r="B70" s="9" t="inlineStr">
        <is>
          <t>HD L - Big Bracket</t>
        </is>
      </c>
      <c r="C70" s="8" t="inlineStr">
        <is>
          <t>Gates</t>
        </is>
      </c>
      <c r="D70" s="9" t="inlineStr"/>
      <c r="E70" s="8" t="inlineStr">
        <is>
          <t>AGST-P084-186</t>
        </is>
      </c>
      <c r="F70" s="10" t="n">
        <v>42.94</v>
      </c>
      <c r="G70" s="11" t="n"/>
      <c r="H70" s="11" t="n"/>
      <c r="I70" s="11" t="n"/>
      <c r="J70" s="11" t="n"/>
      <c r="K70" s="12" t="n">
        <v>1</v>
      </c>
      <c r="L70" s="12" t="n"/>
      <c r="M70" s="12" t="n"/>
      <c r="N70" s="13">
        <f>IF(AND(H70&gt;0,I70&gt;0,J70&gt;0),ROUND(H70*I70*J70/139,1),"")</f>
        <v/>
      </c>
      <c r="O70" s="13">
        <f>IF(G70="","",IF(N70="",G70,MAX(G70,N70)))</f>
        <v/>
      </c>
    </row>
    <row r="71">
      <c r="A71" s="8" t="inlineStr">
        <is>
          <t>l-stopper-9-ft</t>
        </is>
      </c>
      <c r="B71" s="9" t="inlineStr">
        <is>
          <t>L - Stopper 9 ft.</t>
        </is>
      </c>
      <c r="C71" s="8" t="inlineStr">
        <is>
          <t>Gates</t>
        </is>
      </c>
      <c r="D71" s="9" t="inlineStr"/>
      <c r="E71" s="8" t="inlineStr">
        <is>
          <t>AGST-P084-187</t>
        </is>
      </c>
      <c r="F71" s="10" t="n">
        <v>60.66</v>
      </c>
      <c r="G71" s="11" t="n"/>
      <c r="H71" s="11" t="n"/>
      <c r="I71" s="11" t="n"/>
      <c r="J71" s="11" t="n"/>
      <c r="K71" s="12" t="n">
        <v>1</v>
      </c>
      <c r="L71" s="12" t="n"/>
      <c r="M71" s="12" t="n"/>
      <c r="N71" s="13">
        <f>IF(AND(H71&gt;0,I71&gt;0,J71&gt;0),ROUND(H71*I71*J71/139,1),"")</f>
        <v/>
      </c>
      <c r="O71" s="13">
        <f>IF(G71="","",IF(N71="",G71,MAX(G71,N71)))</f>
        <v/>
      </c>
    </row>
    <row r="72">
      <c r="A72" s="8" t="inlineStr">
        <is>
          <t>l-stopper-6-ft</t>
        </is>
      </c>
      <c r="B72" s="9" t="inlineStr">
        <is>
          <t>L - Stopper 6 ft.</t>
        </is>
      </c>
      <c r="C72" s="8" t="inlineStr">
        <is>
          <t>Gates</t>
        </is>
      </c>
      <c r="D72" s="9" t="inlineStr"/>
      <c r="E72" s="8" t="inlineStr">
        <is>
          <t>AGST-P085-188</t>
        </is>
      </c>
      <c r="F72" s="10" t="n">
        <v>52.08</v>
      </c>
      <c r="G72" s="11" t="n"/>
      <c r="H72" s="11" t="n"/>
      <c r="I72" s="11" t="n"/>
      <c r="J72" s="11" t="n"/>
      <c r="K72" s="12" t="n">
        <v>1</v>
      </c>
      <c r="L72" s="12" t="n"/>
      <c r="M72" s="12" t="n"/>
      <c r="N72" s="13">
        <f>IF(AND(H72&gt;0,I72&gt;0,J72&gt;0),ROUND(H72*I72*J72/139,1),"")</f>
        <v/>
      </c>
      <c r="O72" s="13">
        <f>IF(G72="","",IF(N72="",G72,MAX(G72,N72)))</f>
        <v/>
      </c>
    </row>
    <row r="73">
      <c r="A73" s="8" t="inlineStr">
        <is>
          <t>guide-roller-3-pc-black</t>
        </is>
      </c>
      <c r="B73" s="9" t="inlineStr">
        <is>
          <t>Guide Roller 3" PC Black</t>
        </is>
      </c>
      <c r="C73" s="8" t="inlineStr">
        <is>
          <t>Gates</t>
        </is>
      </c>
      <c r="D73" s="9" t="inlineStr"/>
      <c r="E73" s="8" t="inlineStr">
        <is>
          <t>26647</t>
        </is>
      </c>
      <c r="F73" s="10" t="n">
        <v>162</v>
      </c>
      <c r="G73" s="11" t="n"/>
      <c r="H73" s="11" t="n"/>
      <c r="I73" s="11" t="n"/>
      <c r="J73" s="11" t="n"/>
      <c r="K73" s="12" t="n">
        <v>1</v>
      </c>
      <c r="L73" s="12" t="n"/>
      <c r="M73" s="12" t="n"/>
      <c r="N73" s="13">
        <f>IF(AND(H73&gt;0,I73&gt;0,J73&gt;0),ROUND(H73*I73*J73/139,1),"")</f>
        <v/>
      </c>
      <c r="O73" s="13">
        <f>IF(G73="","",IF(N73="",G73,MAX(G73,N73)))</f>
        <v/>
      </c>
    </row>
    <row r="74">
      <c r="A74" s="8" t="inlineStr">
        <is>
          <t>basic-cane-bolt</t>
        </is>
      </c>
      <c r="B74" s="9" t="inlineStr">
        <is>
          <t>Basic Cane bolt</t>
        </is>
      </c>
      <c r="C74" s="8" t="inlineStr">
        <is>
          <t>Gates</t>
        </is>
      </c>
      <c r="D74" s="9" t="inlineStr"/>
      <c r="E74" s="8" t="inlineStr">
        <is>
          <t>26665</t>
        </is>
      </c>
      <c r="F74" s="10" t="n">
        <v>49</v>
      </c>
      <c r="G74" s="11" t="n"/>
      <c r="H74" s="11" t="n"/>
      <c r="I74" s="11" t="n"/>
      <c r="J74" s="11" t="n"/>
      <c r="K74" s="12" t="n">
        <v>1</v>
      </c>
      <c r="L74" s="12" t="n"/>
      <c r="M74" s="12" t="n"/>
      <c r="N74" s="13">
        <f>IF(AND(H74&gt;0,I74&gt;0,J74&gt;0),ROUND(H74*I74*J74/139,1),"")</f>
        <v/>
      </c>
      <c r="O74" s="13">
        <f>IF(G74="","",IF(N74="",G74,MAX(G74,N74)))</f>
        <v/>
      </c>
    </row>
    <row r="75">
      <c r="A75" s="8" t="inlineStr">
        <is>
          <t>7-8-plugs-black</t>
        </is>
      </c>
      <c r="B75" s="9" t="inlineStr">
        <is>
          <t>7/8 Plugs Black</t>
        </is>
      </c>
      <c r="C75" s="8" t="inlineStr">
        <is>
          <t>Gates</t>
        </is>
      </c>
      <c r="D75" s="9" t="inlineStr"/>
      <c r="E75" s="8" t="inlineStr">
        <is>
          <t>AGST-P085-192</t>
        </is>
      </c>
      <c r="F75" s="10" t="n">
        <v>0.91</v>
      </c>
      <c r="G75" s="11" t="n"/>
      <c r="H75" s="11" t="n"/>
      <c r="I75" s="11" t="n"/>
      <c r="J75" s="11" t="n"/>
      <c r="K75" s="12" t="n">
        <v>1</v>
      </c>
      <c r="L75" s="12" t="n"/>
      <c r="M75" s="12" t="n"/>
      <c r="N75" s="13">
        <f>IF(AND(H75&gt;0,I75&gt;0,J75&gt;0),ROUND(H75*I75*J75/139,1),"")</f>
        <v/>
      </c>
      <c r="O75" s="13">
        <f>IF(G75="","",IF(N75="",G75,MAX(G75,N75)))</f>
        <v/>
      </c>
    </row>
    <row r="76">
      <c r="A76" s="8" t="inlineStr">
        <is>
          <t>gate-catcher-pc-black</t>
        </is>
      </c>
      <c r="B76" s="9" t="inlineStr">
        <is>
          <t>Gate Catcher PC Black</t>
        </is>
      </c>
      <c r="C76" s="8" t="inlineStr">
        <is>
          <t>Gates</t>
        </is>
      </c>
      <c r="D76" s="9" t="inlineStr"/>
      <c r="E76" s="8" t="inlineStr">
        <is>
          <t>26667</t>
        </is>
      </c>
      <c r="F76" s="10" t="n">
        <v>91</v>
      </c>
      <c r="G76" s="11" t="n"/>
      <c r="H76" s="11" t="n"/>
      <c r="I76" s="11" t="n"/>
      <c r="J76" s="11" t="n"/>
      <c r="K76" s="12" t="n">
        <v>1</v>
      </c>
      <c r="L76" s="12" t="n"/>
      <c r="M76" s="12" t="n"/>
      <c r="N76" s="13">
        <f>IF(AND(H76&gt;0,I76&gt;0,J76&gt;0),ROUND(H76*I76*J76/139,1),"")</f>
        <v/>
      </c>
      <c r="O76" s="13">
        <f>IF(G76="","",IF(N76="",G76,MAX(G76,N76)))</f>
        <v/>
      </c>
    </row>
    <row r="77">
      <c r="A77" s="8" t="inlineStr">
        <is>
          <t>c-track-2-1-8-10ft-2</t>
        </is>
      </c>
      <c r="B77" s="9" t="inlineStr">
        <is>
          <t>C Track 2.1/8 10FT</t>
        </is>
      </c>
      <c r="C77" s="8" t="inlineStr">
        <is>
          <t>Gates</t>
        </is>
      </c>
      <c r="D77" s="9" t="inlineStr"/>
      <c r="E77" s="8" t="inlineStr">
        <is>
          <t>AG-38201</t>
        </is>
      </c>
      <c r="F77" s="10" t="n">
        <v>91</v>
      </c>
      <c r="G77" s="11" t="n"/>
      <c r="H77" s="11" t="n"/>
      <c r="I77" s="11" t="n"/>
      <c r="J77" s="11" t="n"/>
      <c r="K77" s="12" t="n">
        <v>1</v>
      </c>
      <c r="L77" s="12" t="n"/>
      <c r="M77" s="12" t="n"/>
      <c r="N77" s="13">
        <f>IF(AND(H77&gt;0,I77&gt;0,J77&gt;0),ROUND(H77*I77*J77/139,1),"")</f>
        <v/>
      </c>
      <c r="O77" s="13">
        <f>IF(G77="","",IF(N77="",G77,MAX(G77,N77)))</f>
        <v/>
      </c>
    </row>
    <row r="78">
      <c r="A78" s="8" t="inlineStr">
        <is>
          <t>gate-stopper</t>
        </is>
      </c>
      <c r="B78" s="9" t="inlineStr">
        <is>
          <t>Gate stopper</t>
        </is>
      </c>
      <c r="C78" s="8" t="inlineStr">
        <is>
          <t>Gates</t>
        </is>
      </c>
      <c r="D78" s="9" t="inlineStr"/>
      <c r="E78" s="8" t="inlineStr">
        <is>
          <t>26659</t>
        </is>
      </c>
      <c r="F78" s="10" t="n">
        <v>63</v>
      </c>
      <c r="G78" s="11" t="n"/>
      <c r="H78" s="11" t="n"/>
      <c r="I78" s="11" t="n"/>
      <c r="J78" s="11" t="n"/>
      <c r="K78" s="12" t="n">
        <v>1</v>
      </c>
      <c r="L78" s="12" t="n"/>
      <c r="M78" s="12" t="n"/>
      <c r="N78" s="13">
        <f>IF(AND(H78&gt;0,I78&gt;0,J78&gt;0),ROUND(H78*I78*J78/139,1),"")</f>
        <v/>
      </c>
      <c r="O78" s="13">
        <f>IF(G78="","",IF(N78="",G78,MAX(G78,N78)))</f>
        <v/>
      </c>
    </row>
    <row r="79">
      <c r="A79" s="8" t="inlineStr">
        <is>
          <t>c-wheel-2-1-2pair-2</t>
        </is>
      </c>
      <c r="B79" s="9" t="inlineStr">
        <is>
          <t>C Wheel 2.1/2Pair</t>
        </is>
      </c>
      <c r="C79" s="8" t="inlineStr">
        <is>
          <t>Gates</t>
        </is>
      </c>
      <c r="D79" s="9" t="inlineStr"/>
      <c r="E79" s="8" t="inlineStr">
        <is>
          <t>AG-38198</t>
        </is>
      </c>
      <c r="F79" s="10" t="n">
        <v>105</v>
      </c>
      <c r="G79" s="11" t="n"/>
      <c r="H79" s="11" t="n"/>
      <c r="I79" s="11" t="n"/>
      <c r="J79" s="11" t="n"/>
      <c r="K79" s="12" t="n">
        <v>1</v>
      </c>
      <c r="L79" s="12" t="n"/>
      <c r="M79" s="12" t="n"/>
      <c r="N79" s="13">
        <f>IF(AND(H79&gt;0,I79&gt;0,J79&gt;0),ROUND(H79*I79*J79/139,1),"")</f>
        <v/>
      </c>
      <c r="O79" s="13">
        <f>IF(G79="","",IF(N79="",G79,MAX(G79,N79)))</f>
        <v/>
      </c>
    </row>
    <row r="80">
      <c r="A80" s="8" t="inlineStr">
        <is>
          <t>hd-double-sided-latch</t>
        </is>
      </c>
      <c r="B80" s="9" t="inlineStr">
        <is>
          <t>HD Double Sided Latch</t>
        </is>
      </c>
      <c r="C80" s="8" t="inlineStr">
        <is>
          <t>Gates</t>
        </is>
      </c>
      <c r="D80" s="9" t="inlineStr"/>
      <c r="E80" s="8" t="inlineStr">
        <is>
          <t>26639</t>
        </is>
      </c>
      <c r="F80" s="10" t="n">
        <v>126</v>
      </c>
      <c r="G80" s="11" t="n"/>
      <c r="H80" s="11" t="n"/>
      <c r="I80" s="11" t="n"/>
      <c r="J80" s="11" t="n"/>
      <c r="K80" s="12" t="n">
        <v>1</v>
      </c>
      <c r="L80" s="12" t="n"/>
      <c r="M80" s="12" t="n"/>
      <c r="N80" s="13">
        <f>IF(AND(H80&gt;0,I80&gt;0,J80&gt;0),ROUND(H80*I80*J80/139,1),"")</f>
        <v/>
      </c>
      <c r="O80" s="13">
        <f>IF(G80="","",IF(N80="",G80,MAX(G80,N80)))</f>
        <v/>
      </c>
    </row>
    <row r="81">
      <c r="A81" s="8" t="inlineStr">
        <is>
          <t>heavy-duty-5-way-support-hinge</t>
        </is>
      </c>
      <c r="B81" s="9" t="inlineStr">
        <is>
          <t>HD 5.1/4 DOUBLE WALL SUPPORT HINGE SET</t>
        </is>
      </c>
      <c r="C81" s="8" t="inlineStr">
        <is>
          <t>Gates</t>
        </is>
      </c>
      <c r="D81" s="9" t="inlineStr"/>
      <c r="E81" s="8" t="inlineStr">
        <is>
          <t>26616</t>
        </is>
      </c>
      <c r="F81" s="10" t="n">
        <v>84</v>
      </c>
      <c r="G81" s="11" t="n"/>
      <c r="H81" s="11" t="n"/>
      <c r="I81" s="11" t="n"/>
      <c r="J81" s="11" t="n"/>
      <c r="K81" s="12" t="n">
        <v>1</v>
      </c>
      <c r="L81" s="12" t="n"/>
      <c r="M81" s="12" t="n"/>
      <c r="N81" s="13">
        <f>IF(AND(H81&gt;0,I81&gt;0,J81&gt;0),ROUND(H81*I81*J81/139,1),"")</f>
        <v/>
      </c>
      <c r="O81" s="13">
        <f>IF(G81="","",IF(N81="",G81,MAX(G81,N81)))</f>
        <v/>
      </c>
    </row>
    <row r="82">
      <c r="A82" s="8" t="inlineStr">
        <is>
          <t>hd-double-support-hinges-by-piece</t>
        </is>
      </c>
      <c r="B82" s="9" t="inlineStr">
        <is>
          <t>HD Double Support Hinges (by piece)</t>
        </is>
      </c>
      <c r="C82" s="8" t="inlineStr">
        <is>
          <t>Gates</t>
        </is>
      </c>
      <c r="D82" s="9" t="inlineStr"/>
      <c r="E82" s="8" t="inlineStr">
        <is>
          <t>AGST-P087-199</t>
        </is>
      </c>
      <c r="F82" s="10" t="n">
        <v>42</v>
      </c>
      <c r="G82" s="11" t="n"/>
      <c r="H82" s="11" t="n"/>
      <c r="I82" s="11" t="n"/>
      <c r="J82" s="11" t="n"/>
      <c r="K82" s="12" t="n">
        <v>1</v>
      </c>
      <c r="L82" s="12" t="n"/>
      <c r="M82" s="12" t="n"/>
      <c r="N82" s="13">
        <f>IF(AND(H82&gt;0,I82&gt;0,J82&gt;0),ROUND(H82*I82*J82/139,1),"")</f>
        <v/>
      </c>
      <c r="O82" s="13">
        <f>IF(G82="","",IF(N82="",G82,MAX(G82,N82)))</f>
        <v/>
      </c>
    </row>
    <row r="83">
      <c r="A83" s="8" t="inlineStr">
        <is>
          <t>2-75-2-way-post-convex-cap-with-screws-black</t>
        </is>
      </c>
      <c r="B83" s="9" t="inlineStr">
        <is>
          <t>2.75 2-way Flat Cap with screws - Black</t>
        </is>
      </c>
      <c r="C83" s="8" t="inlineStr">
        <is>
          <t>Gates</t>
        </is>
      </c>
      <c r="D83" s="9" t="inlineStr"/>
      <c r="E83" s="8" t="inlineStr">
        <is>
          <t>AG-60752</t>
        </is>
      </c>
      <c r="F83" s="10" t="n">
        <v>15.27</v>
      </c>
      <c r="G83" s="11" t="n"/>
      <c r="H83" s="11" t="n"/>
      <c r="I83" s="11" t="n"/>
      <c r="J83" s="11" t="n"/>
      <c r="K83" s="12" t="n">
        <v>1</v>
      </c>
      <c r="L83" s="12" t="n"/>
      <c r="M83" s="12" t="n"/>
      <c r="N83" s="13">
        <f>IF(AND(H83&gt;0,I83&gt;0,J83&gt;0),ROUND(H83*I83*J83/139,1),"")</f>
        <v/>
      </c>
      <c r="O83" s="13">
        <f>IF(G83="","",IF(N83="",G83,MAX(G83,N83)))</f>
        <v/>
      </c>
    </row>
    <row r="84">
      <c r="A84" s="8" t="inlineStr">
        <is>
          <t>2-75-flat-aluminum-post-cap</t>
        </is>
      </c>
      <c r="B84" s="9" t="inlineStr">
        <is>
          <t>2.75 2-way Post Convex Cap - Black</t>
        </is>
      </c>
      <c r="C84" s="8" t="inlineStr">
        <is>
          <t>Gates</t>
        </is>
      </c>
      <c r="D84" s="9" t="inlineStr"/>
      <c r="E84" s="8" t="inlineStr">
        <is>
          <t>AG-38016</t>
        </is>
      </c>
      <c r="F84" s="10" t="n">
        <v>11.74</v>
      </c>
      <c r="G84" s="11" t="n"/>
      <c r="H84" s="11" t="n"/>
      <c r="I84" s="11" t="n"/>
      <c r="J84" s="11" t="n"/>
      <c r="K84" s="12" t="n">
        <v>1</v>
      </c>
      <c r="L84" s="12" t="n"/>
      <c r="M84" s="12" t="n"/>
      <c r="N84" s="13">
        <f>IF(AND(H84&gt;0,I84&gt;0,J84&gt;0),ROUND(H84*I84*J84/139,1),"")</f>
        <v/>
      </c>
      <c r="O84" s="13">
        <f>IF(G84="","",IF(N84="",G84,MAX(G84,N84)))</f>
        <v/>
      </c>
    </row>
    <row r="85">
      <c r="A85" s="8" t="inlineStr">
        <is>
          <t>2-75-2way-post-8ft-black</t>
        </is>
      </c>
      <c r="B85" s="9" t="inlineStr">
        <is>
          <t>2.75 2-way Post 8 ft - Black</t>
        </is>
      </c>
      <c r="C85" s="8" t="inlineStr">
        <is>
          <t>Gates</t>
        </is>
      </c>
      <c r="D85" s="9" t="inlineStr"/>
      <c r="E85" s="8" t="inlineStr">
        <is>
          <t>AG-37442</t>
        </is>
      </c>
      <c r="F85" s="10" t="n">
        <v>117.72</v>
      </c>
      <c r="G85" s="11" t="n"/>
      <c r="H85" s="11" t="n"/>
      <c r="I85" s="11" t="n"/>
      <c r="J85" s="11" t="n"/>
      <c r="K85" s="12" t="n">
        <v>1</v>
      </c>
      <c r="L85" s="12" t="n"/>
      <c r="M85" s="12" t="n"/>
      <c r="N85" s="13">
        <f>IF(AND(H85&gt;0,I85&gt;0,J85&gt;0),ROUND(H85*I85*J85/139,1),"")</f>
        <v/>
      </c>
      <c r="O85" s="13">
        <f>IF(G85="","",IF(N85="",G85,MAX(G85,N85)))</f>
        <v/>
      </c>
    </row>
    <row r="86">
      <c r="A86" s="8" t="inlineStr">
        <is>
          <t>2-75-2-way-post-11-ft-black</t>
        </is>
      </c>
      <c r="B86" s="9" t="inlineStr">
        <is>
          <t>2.75 2-way Post 11 ft - Black</t>
        </is>
      </c>
      <c r="C86" s="8" t="inlineStr">
        <is>
          <t>Gates</t>
        </is>
      </c>
      <c r="D86" s="9" t="inlineStr"/>
      <c r="E86" s="8" t="inlineStr">
        <is>
          <t>AG-60784</t>
        </is>
      </c>
      <c r="F86" s="10" t="n">
        <v>160.23</v>
      </c>
      <c r="G86" s="11" t="n"/>
      <c r="H86" s="11" t="n"/>
      <c r="I86" s="11" t="n"/>
      <c r="J86" s="11" t="n"/>
      <c r="K86" s="12" t="n">
        <v>1</v>
      </c>
      <c r="L86" s="12" t="n"/>
      <c r="M86" s="12" t="n"/>
      <c r="N86" s="13">
        <f>IF(AND(H86&gt;0,I86&gt;0,J86&gt;0),ROUND(H86*I86*J86/139,1),"")</f>
        <v/>
      </c>
      <c r="O86" s="13">
        <f>IF(G86="","",IF(N86="",G86,MAX(G86,N86)))</f>
        <v/>
      </c>
    </row>
    <row r="87">
      <c r="A87" s="8" t="inlineStr">
        <is>
          <t>steel-base-plate-for-2-75-post-pc-black</t>
        </is>
      </c>
      <c r="B87" s="9" t="inlineStr">
        <is>
          <t>Steel Base Plate for 2.75 Post</t>
        </is>
      </c>
      <c r="C87" s="8" t="inlineStr">
        <is>
          <t>Gates</t>
        </is>
      </c>
      <c r="D87" s="9" t="inlineStr"/>
      <c r="E87" s="8" t="inlineStr">
        <is>
          <t>26675</t>
        </is>
      </c>
      <c r="F87" s="10" t="n">
        <v>37.95</v>
      </c>
      <c r="G87" s="11" t="n"/>
      <c r="H87" s="11" t="n"/>
      <c r="I87" s="11" t="n"/>
      <c r="J87" s="11" t="n"/>
      <c r="K87" s="12" t="n">
        <v>1</v>
      </c>
      <c r="L87" s="12" t="n"/>
      <c r="M87" s="12" t="n"/>
      <c r="N87" s="13">
        <f>IF(AND(H87&gt;0,I87&gt;0,J87&gt;0),ROUND(H87*I87*J87/139,1),"")</f>
        <v/>
      </c>
      <c r="O87" s="13">
        <f>IF(G87="","",IF(N87="",G87,MAX(G87,N87)))</f>
        <v/>
      </c>
    </row>
    <row r="88">
      <c r="A88" s="8" t="inlineStr">
        <is>
          <t>2-75-2-way-post-baseplate-black</t>
        </is>
      </c>
      <c r="B88" s="9" t="inlineStr">
        <is>
          <t>2.75 2-way Post Baseplate - Black</t>
        </is>
      </c>
      <c r="C88" s="8" t="inlineStr">
        <is>
          <t>Gates</t>
        </is>
      </c>
      <c r="D88" s="9" t="inlineStr"/>
      <c r="E88" s="8" t="inlineStr">
        <is>
          <t>AGST-P043-064</t>
        </is>
      </c>
      <c r="F88" s="10" t="n">
        <v>29.15</v>
      </c>
      <c r="G88" s="11" t="n"/>
      <c r="H88" s="11" t="n"/>
      <c r="I88" s="11" t="n"/>
      <c r="J88" s="11" t="n"/>
      <c r="K88" s="12" t="n">
        <v>1</v>
      </c>
      <c r="L88" s="12" t="n"/>
      <c r="M88" s="12" t="n"/>
      <c r="N88" s="13">
        <f>IF(AND(H88&gt;0,I88&gt;0,J88&gt;0),ROUND(H88*I88*J88/139,1),"")</f>
        <v/>
      </c>
      <c r="O88" s="13">
        <f>IF(G88="","",IF(N88="",G88,MAX(G88,N88)))</f>
        <v/>
      </c>
    </row>
    <row r="89">
      <c r="A89" s="8" t="inlineStr">
        <is>
          <t>alu60-tg-slat-0047inthk-8ft-11pcs-bl</t>
        </is>
      </c>
      <c r="B89" s="9" t="inlineStr">
        <is>
          <t>(Box) ALU 60 T&amp;G Slat 0.047in Thk 8ft - 11pcs (Fence Slat Kit) - BL</t>
        </is>
      </c>
      <c r="C89" s="8" t="inlineStr">
        <is>
          <t>Gates</t>
        </is>
      </c>
      <c r="D89" s="9" t="inlineStr">
        <is>
          <t>Black</t>
        </is>
      </c>
      <c r="E89" s="8" t="inlineStr">
        <is>
          <t>AGST-P058-103-BLACK</t>
        </is>
      </c>
      <c r="F89" s="10" t="n">
        <v>656.8</v>
      </c>
      <c r="G89" s="11" t="n"/>
      <c r="H89" s="11" t="n"/>
      <c r="I89" s="11" t="n"/>
      <c r="J89" s="11" t="n"/>
      <c r="K89" s="12" t="n">
        <v>1</v>
      </c>
      <c r="L89" s="12" t="n"/>
      <c r="M89" s="12" t="n"/>
      <c r="N89" s="13">
        <f>IF(AND(H89&gt;0,I89&gt;0,J89&gt;0),ROUND(H89*I89*J89/139,1),"")</f>
        <v/>
      </c>
      <c r="O89" s="13">
        <f>IF(G89="","",IF(N89="",G89,MAX(G89,N89)))</f>
        <v/>
      </c>
    </row>
    <row r="90">
      <c r="A90" s="8" t="inlineStr">
        <is>
          <t>alu60-tg-slat-0047inthk-8ft-11pcs-bl</t>
        </is>
      </c>
      <c r="B90" s="9" t="inlineStr">
        <is>
          <t>(Box) ALU 60 T&amp;G Slat 0.047in Thk 8ft - 11pcs (Fence Slat Kit) - BL</t>
        </is>
      </c>
      <c r="C90" s="8" t="inlineStr">
        <is>
          <t>Gates</t>
        </is>
      </c>
      <c r="D90" s="9" t="inlineStr">
        <is>
          <t>Bronze</t>
        </is>
      </c>
      <c r="E90" s="8" t="inlineStr">
        <is>
          <t>AGST-P058-104-BRONZE</t>
        </is>
      </c>
      <c r="F90" s="10" t="n">
        <v>656.8</v>
      </c>
      <c r="G90" s="11" t="n"/>
      <c r="H90" s="11" t="n"/>
      <c r="I90" s="11" t="n"/>
      <c r="J90" s="11" t="n"/>
      <c r="K90" s="12" t="n">
        <v>1</v>
      </c>
      <c r="L90" s="12" t="n"/>
      <c r="M90" s="12" t="n"/>
      <c r="N90" s="13">
        <f>IF(AND(H90&gt;0,I90&gt;0,J90&gt;0),ROUND(H90*I90*J90/139,1),"")</f>
        <v/>
      </c>
      <c r="O90" s="13">
        <f>IF(G90="","",IF(N90="",G90,MAX(G90,N90)))</f>
        <v/>
      </c>
    </row>
    <row r="91">
      <c r="A91" s="8" t="inlineStr">
        <is>
          <t>alu60-tg-slat-0047inthk-8ft-11pcs-bl</t>
        </is>
      </c>
      <c r="B91" s="9" t="inlineStr">
        <is>
          <t>(Box) ALU 60 T&amp;G Slat 0.047in Thk 8ft - 11pcs (Fence Slat Kit) - BL</t>
        </is>
      </c>
      <c r="C91" s="8" t="inlineStr">
        <is>
          <t>Gates</t>
        </is>
      </c>
      <c r="D91" s="9" t="inlineStr">
        <is>
          <t>White</t>
        </is>
      </c>
      <c r="E91" s="8" t="inlineStr">
        <is>
          <t>AGST-P058-105-WHITE</t>
        </is>
      </c>
      <c r="F91" s="10" t="n">
        <v>656.8</v>
      </c>
      <c r="G91" s="11" t="n"/>
      <c r="H91" s="11" t="n"/>
      <c r="I91" s="11" t="n"/>
      <c r="J91" s="11" t="n"/>
      <c r="K91" s="12" t="n">
        <v>1</v>
      </c>
      <c r="L91" s="12" t="n"/>
      <c r="M91" s="12" t="n"/>
      <c r="N91" s="13">
        <f>IF(AND(H91&gt;0,I91&gt;0,J91&gt;0),ROUND(H91*I91*J91/139,1),"")</f>
        <v/>
      </c>
      <c r="O91" s="13">
        <f>IF(G91="","",IF(N91="",G91,MAX(G91,N91)))</f>
        <v/>
      </c>
    </row>
    <row r="92">
      <c r="A92" s="8" t="inlineStr">
        <is>
          <t>alu-60-tg-aluminum-fence-slat-8ft</t>
        </is>
      </c>
      <c r="B92" s="9" t="inlineStr">
        <is>
          <t>ALU 60 T&amp;G Slat 0.047 THK x 8ft - BL</t>
        </is>
      </c>
      <c r="C92" s="8" t="inlineStr">
        <is>
          <t>Gates</t>
        </is>
      </c>
      <c r="D92" s="9" t="inlineStr">
        <is>
          <t>Black</t>
        </is>
      </c>
      <c r="E92" s="8" t="inlineStr">
        <is>
          <t>AGST-P059-106-BLACK</t>
        </is>
      </c>
      <c r="F92" s="10" t="n">
        <v>65.54000000000001</v>
      </c>
      <c r="G92" s="11" t="n"/>
      <c r="H92" s="11" t="n"/>
      <c r="I92" s="11" t="n"/>
      <c r="J92" s="11" t="n"/>
      <c r="K92" s="12" t="n">
        <v>1</v>
      </c>
      <c r="L92" s="12" t="n"/>
      <c r="M92" s="12" t="n"/>
      <c r="N92" s="13">
        <f>IF(AND(H92&gt;0,I92&gt;0,J92&gt;0),ROUND(H92*I92*J92/139,1),"")</f>
        <v/>
      </c>
      <c r="O92" s="13">
        <f>IF(G92="","",IF(N92="",G92,MAX(G92,N92)))</f>
        <v/>
      </c>
    </row>
    <row r="93">
      <c r="A93" s="8" t="inlineStr">
        <is>
          <t>alu-60-tg-aluminum-fence-slat-8ft</t>
        </is>
      </c>
      <c r="B93" s="9" t="inlineStr">
        <is>
          <t>ALU 60 T&amp;G Slat 0.047 THK x 8ft - BL</t>
        </is>
      </c>
      <c r="C93" s="8" t="inlineStr">
        <is>
          <t>Gates</t>
        </is>
      </c>
      <c r="D93" s="9" t="inlineStr">
        <is>
          <t>Bronze</t>
        </is>
      </c>
      <c r="E93" s="8" t="inlineStr">
        <is>
          <t>AGST-P059-107-BRONZE</t>
        </is>
      </c>
      <c r="F93" s="10" t="n">
        <v>65.54000000000001</v>
      </c>
      <c r="G93" s="11" t="n"/>
      <c r="H93" s="11" t="n"/>
      <c r="I93" s="11" t="n"/>
      <c r="J93" s="11" t="n"/>
      <c r="K93" s="12" t="n">
        <v>1</v>
      </c>
      <c r="L93" s="12" t="n"/>
      <c r="M93" s="12" t="n"/>
      <c r="N93" s="13">
        <f>IF(AND(H93&gt;0,I93&gt;0,J93&gt;0),ROUND(H93*I93*J93/139,1),"")</f>
        <v/>
      </c>
      <c r="O93" s="13">
        <f>IF(G93="","",IF(N93="",G93,MAX(G93,N93)))</f>
        <v/>
      </c>
    </row>
    <row r="94">
      <c r="A94" s="8" t="inlineStr">
        <is>
          <t>alu-60-tg-aluminum-fence-slat-8ft</t>
        </is>
      </c>
      <c r="B94" s="9" t="inlineStr">
        <is>
          <t>ALU 60 T&amp;G Slat 0.047 THK x 8ft - BL</t>
        </is>
      </c>
      <c r="C94" s="8" t="inlineStr">
        <is>
          <t>Gates</t>
        </is>
      </c>
      <c r="D94" s="9" t="inlineStr">
        <is>
          <t>White</t>
        </is>
      </c>
      <c r="E94" s="8" t="inlineStr">
        <is>
          <t>AGST-P059-108-WHITE</t>
        </is>
      </c>
      <c r="F94" s="10" t="n">
        <v>65.54000000000001</v>
      </c>
      <c r="G94" s="11" t="n"/>
      <c r="H94" s="11" t="n"/>
      <c r="I94" s="11" t="n"/>
      <c r="J94" s="11" t="n"/>
      <c r="K94" s="12" t="n">
        <v>1</v>
      </c>
      <c r="L94" s="12" t="n"/>
      <c r="M94" s="12" t="n"/>
      <c r="N94" s="13">
        <f>IF(AND(H94&gt;0,I94&gt;0,J94&gt;0),ROUND(H94*I94*J94/139,1),"")</f>
        <v/>
      </c>
      <c r="O94" s="13">
        <f>IF(G94="","",IF(N94="",G94,MAX(G94,N94)))</f>
        <v/>
      </c>
    </row>
    <row r="95">
      <c r="A95" s="8" t="inlineStr">
        <is>
          <t>alu20-slat-6ft</t>
        </is>
      </c>
      <c r="B95" s="9" t="inlineStr">
        <is>
          <t>ALU 20 SLAT 6 ft. - Black</t>
        </is>
      </c>
      <c r="C95" s="8" t="inlineStr">
        <is>
          <t>Gates</t>
        </is>
      </c>
      <c r="D95" s="9" t="inlineStr"/>
      <c r="E95" s="8" t="inlineStr">
        <is>
          <t>26805</t>
        </is>
      </c>
      <c r="F95" s="10" t="n">
        <v>17.94</v>
      </c>
      <c r="G95" s="11" t="n"/>
      <c r="H95" s="11" t="n"/>
      <c r="I95" s="11" t="n"/>
      <c r="J95" s="11" t="n"/>
      <c r="K95" s="12" t="n">
        <v>1</v>
      </c>
      <c r="L95" s="12" t="n"/>
      <c r="M95" s="12" t="n"/>
      <c r="N95" s="13">
        <f>IF(AND(H95&gt;0,I95&gt;0,J95&gt;0),ROUND(H95*I95*J95/139,1),"")</f>
        <v/>
      </c>
      <c r="O95" s="13">
        <f>IF(G95="","",IF(N95="",G95,MAX(G95,N95)))</f>
        <v/>
      </c>
    </row>
    <row r="96">
      <c r="A96" s="8" t="inlineStr">
        <is>
          <t>alu-40-slat-8-ft-black</t>
        </is>
      </c>
      <c r="B96" s="9" t="inlineStr">
        <is>
          <t>ALU 40 Slat 8 ft. - Black</t>
        </is>
      </c>
      <c r="C96" s="8" t="inlineStr">
        <is>
          <t>Gates</t>
        </is>
      </c>
      <c r="D96" s="9" t="inlineStr"/>
      <c r="E96" s="8" t="inlineStr">
        <is>
          <t>AGST-P063-119</t>
        </is>
      </c>
      <c r="F96" s="10" t="n">
        <v>43.23</v>
      </c>
      <c r="G96" s="11" t="n"/>
      <c r="H96" s="11" t="n"/>
      <c r="I96" s="11" t="n"/>
      <c r="J96" s="11" t="n"/>
      <c r="K96" s="12" t="n">
        <v>1</v>
      </c>
      <c r="L96" s="12" t="n"/>
      <c r="M96" s="12" t="n"/>
      <c r="N96" s="13">
        <f>IF(AND(H96&gt;0,I96&gt;0,J96&gt;0),ROUND(H96*I96*J96/139,1),"")</f>
        <v/>
      </c>
      <c r="O96" s="13">
        <f>IF(G96="","",IF(N96="",G96,MAX(G96,N96)))</f>
        <v/>
      </c>
    </row>
    <row r="97">
      <c r="A97" s="8" t="inlineStr">
        <is>
          <t>alu-40-slat-24-ft-black</t>
        </is>
      </c>
      <c r="B97" s="9" t="inlineStr">
        <is>
          <t>ALU 40 Slat 24 ft. - Black</t>
        </is>
      </c>
      <c r="C97" s="8" t="inlineStr">
        <is>
          <t>Gates</t>
        </is>
      </c>
      <c r="D97" s="9" t="inlineStr"/>
      <c r="E97" s="8" t="inlineStr">
        <is>
          <t>AGST-P063-120</t>
        </is>
      </c>
      <c r="F97" s="10" t="n">
        <v>129.69</v>
      </c>
      <c r="G97" s="11" t="n"/>
      <c r="H97" s="11" t="n"/>
      <c r="I97" s="11" t="n"/>
      <c r="J97" s="11" t="n"/>
      <c r="K97" s="12" t="n">
        <v>1</v>
      </c>
      <c r="L97" s="12" t="n"/>
      <c r="M97" s="12" t="n"/>
      <c r="N97" s="13">
        <f>IF(AND(H97&gt;0,I97&gt;0,J97&gt;0),ROUND(H97*I97*J97/139,1),"")</f>
        <v/>
      </c>
      <c r="O97" s="13">
        <f>IF(G97="","",IF(N97="",G97,MAX(G97,N97)))</f>
        <v/>
      </c>
    </row>
    <row r="98">
      <c r="A98" s="8" t="inlineStr">
        <is>
          <t>6-3-alu40-teak-ipe-6</t>
        </is>
      </c>
      <c r="B98" s="9" t="inlineStr">
        <is>
          <t>ALU40 6ft Aluminum Wood Grain</t>
        </is>
      </c>
      <c r="C98" s="8" t="inlineStr">
        <is>
          <t>Gates</t>
        </is>
      </c>
      <c r="D98" s="9" t="inlineStr"/>
      <c r="E98" s="8" t="inlineStr">
        <is>
          <t>26551</t>
        </is>
      </c>
      <c r="F98" s="10" t="n">
        <v>38.34</v>
      </c>
      <c r="G98" s="11" t="n"/>
      <c r="H98" s="11" t="n"/>
      <c r="I98" s="11" t="n"/>
      <c r="J98" s="11" t="n"/>
      <c r="K98" s="12" t="n">
        <v>1</v>
      </c>
      <c r="L98" s="12" t="n"/>
      <c r="M98" s="12" t="n"/>
      <c r="N98" s="13">
        <f>IF(AND(H98&gt;0,I98&gt;0,J98&gt;0),ROUND(H98*I98*J98/139,1),"")</f>
        <v/>
      </c>
      <c r="O98" s="13">
        <f>IF(G98="","",IF(N98="",G98,MAX(G98,N98)))</f>
        <v/>
      </c>
    </row>
    <row r="99">
      <c r="A99" s="8" t="inlineStr">
        <is>
          <t>6-3-alu40-teak-ipe-19</t>
        </is>
      </c>
      <c r="B99" s="9" t="inlineStr">
        <is>
          <t>ALU40 TEAK-IPE 19' 6.3</t>
        </is>
      </c>
      <c r="C99" s="8" t="inlineStr">
        <is>
          <t>Gates</t>
        </is>
      </c>
      <c r="D99" s="9" t="inlineStr"/>
      <c r="E99" s="8" t="inlineStr">
        <is>
          <t>26550</t>
        </is>
      </c>
      <c r="F99" s="10" t="n">
        <v>113.68</v>
      </c>
      <c r="G99" s="11" t="n"/>
      <c r="H99" s="11" t="n"/>
      <c r="I99" s="11" t="n"/>
      <c r="J99" s="11" t="n"/>
      <c r="K99" s="12" t="n">
        <v>1</v>
      </c>
      <c r="L99" s="12" t="n"/>
      <c r="M99" s="12" t="n"/>
      <c r="N99" s="13">
        <f>IF(AND(H99&gt;0,I99&gt;0,J99&gt;0),ROUND(H99*I99*J99/139,1),"")</f>
        <v/>
      </c>
      <c r="O99" s="13">
        <f>IF(G99="","",IF(N99="",G99,MAX(G99,N99)))</f>
        <v/>
      </c>
    </row>
    <row r="100">
      <c r="A100" s="8" t="inlineStr">
        <is>
          <t>6-3-alu50tng-6-teak-ipe</t>
        </is>
      </c>
      <c r="B100" s="9" t="inlineStr">
        <is>
          <t>ALU50tng 6' TEAK-IPE 6.3</t>
        </is>
      </c>
      <c r="C100" s="8" t="inlineStr">
        <is>
          <t>Gates</t>
        </is>
      </c>
      <c r="D100" s="9" t="inlineStr"/>
      <c r="E100" s="8" t="inlineStr">
        <is>
          <t>26547</t>
        </is>
      </c>
      <c r="F100" s="10" t="n">
        <v>65.27</v>
      </c>
      <c r="G100" s="11" t="n"/>
      <c r="H100" s="11" t="n"/>
      <c r="I100" s="11" t="n"/>
      <c r="J100" s="11" t="n"/>
      <c r="K100" s="12" t="n">
        <v>1</v>
      </c>
      <c r="L100" s="12" t="n"/>
      <c r="M100" s="12" t="n"/>
      <c r="N100" s="13">
        <f>IF(AND(H100&gt;0,I100&gt;0,J100&gt;0),ROUND(H100*I100*J100/139,1),"")</f>
        <v/>
      </c>
      <c r="O100" s="13">
        <f>IF(G100="","",IF(N100="",G100,MAX(G100,N100)))</f>
        <v/>
      </c>
    </row>
    <row r="101">
      <c r="A101" s="8" t="inlineStr">
        <is>
          <t>alu-60-tg-slat-18-ft-woodgrain-ipe</t>
        </is>
      </c>
      <c r="B101" s="9" t="inlineStr">
        <is>
          <t>ALU 60 T&amp;G SLAT 18 ft - Woodgrain - IPE</t>
        </is>
      </c>
      <c r="C101" s="8" t="inlineStr">
        <is>
          <t>Gates</t>
        </is>
      </c>
      <c r="D101" s="9" t="inlineStr"/>
      <c r="E101" s="8" t="inlineStr">
        <is>
          <t>26546</t>
        </is>
      </c>
      <c r="F101" s="10" t="n">
        <v>203.86</v>
      </c>
      <c r="G101" s="11" t="n"/>
      <c r="H101" s="11" t="n"/>
      <c r="I101" s="11" t="n"/>
      <c r="J101" s="11" t="n"/>
      <c r="K101" s="12" t="n">
        <v>1</v>
      </c>
      <c r="L101" s="12" t="n"/>
      <c r="M101" s="12" t="n"/>
      <c r="N101" s="13">
        <f>IF(AND(H101&gt;0,I101&gt;0,J101&gt;0),ROUND(H101*I101*J101/139,1),"")</f>
        <v/>
      </c>
      <c r="O101" s="13">
        <f>IF(G101="","",IF(N101="",G101,MAX(G101,N101)))</f>
        <v/>
      </c>
    </row>
    <row r="102">
      <c r="A102" s="8" t="inlineStr">
        <is>
          <t>6c-channel-aluminum-c-channel-6</t>
        </is>
      </c>
      <c r="B102" s="9" t="inlineStr">
        <is>
          <t>C-Channel Kit 6 ft. - Black</t>
        </is>
      </c>
      <c r="C102" s="8" t="inlineStr">
        <is>
          <t>Gates</t>
        </is>
      </c>
      <c r="D102" s="9" t="inlineStr"/>
      <c r="E102" s="8" t="inlineStr">
        <is>
          <t>26562</t>
        </is>
      </c>
      <c r="F102" s="10" t="n">
        <v>28.4</v>
      </c>
      <c r="G102" s="11" t="n"/>
      <c r="H102" s="11" t="n"/>
      <c r="I102" s="11" t="n"/>
      <c r="J102" s="11" t="n"/>
      <c r="K102" s="12" t="n">
        <v>1</v>
      </c>
      <c r="L102" s="12" t="n"/>
      <c r="M102" s="12" t="n"/>
      <c r="N102" s="13">
        <f>IF(AND(H102&gt;0,I102&gt;0,J102&gt;0),ROUND(H102*I102*J102/139,1),"")</f>
        <v/>
      </c>
      <c r="O102" s="13">
        <f>IF(G102="","",IF(N102="",G102,MAX(G102,N102)))</f>
        <v/>
      </c>
    </row>
    <row r="103">
      <c r="A103" s="8" t="inlineStr">
        <is>
          <t>c-channel-kit-8ft</t>
        </is>
      </c>
      <c r="B103" s="9" t="inlineStr">
        <is>
          <t>C-Channel Kit 8 ft. - Black</t>
        </is>
      </c>
      <c r="C103" s="8" t="inlineStr">
        <is>
          <t>Gates</t>
        </is>
      </c>
      <c r="D103" s="9" t="inlineStr"/>
      <c r="E103" s="8" t="inlineStr">
        <is>
          <t>26565</t>
        </is>
      </c>
      <c r="F103" s="10" t="n">
        <v>34.82</v>
      </c>
      <c r="G103" s="11" t="n"/>
      <c r="H103" s="11" t="n"/>
      <c r="I103" s="11" t="n"/>
      <c r="J103" s="11" t="n"/>
      <c r="K103" s="12" t="n">
        <v>1</v>
      </c>
      <c r="L103" s="12" t="n"/>
      <c r="M103" s="12" t="n"/>
      <c r="N103" s="13">
        <f>IF(AND(H103&gt;0,I103&gt;0,J103&gt;0),ROUND(H103*I103*J103/139,1),"")</f>
        <v/>
      </c>
      <c r="O103" s="13">
        <f>IF(G103="","",IF(N103="",G103,MAX(G103,N103)))</f>
        <v/>
      </c>
    </row>
    <row r="104">
      <c r="A104" s="8" t="inlineStr">
        <is>
          <t>c-channel-kit-18-ft-black</t>
        </is>
      </c>
      <c r="B104" s="9" t="inlineStr">
        <is>
          <t>C-Channel Kit 18 ft. - Black</t>
        </is>
      </c>
      <c r="C104" s="8" t="inlineStr">
        <is>
          <t>Gates</t>
        </is>
      </c>
      <c r="D104" s="9" t="inlineStr"/>
      <c r="E104" s="8" t="inlineStr">
        <is>
          <t>AGST-P055-096</t>
        </is>
      </c>
      <c r="F104" s="10" t="n">
        <v>134.4</v>
      </c>
      <c r="G104" s="11" t="n"/>
      <c r="H104" s="11" t="n"/>
      <c r="I104" s="11" t="n"/>
      <c r="J104" s="11" t="n"/>
      <c r="K104" s="12" t="n">
        <v>1</v>
      </c>
      <c r="L104" s="12" t="n"/>
      <c r="M104" s="12" t="n"/>
      <c r="N104" s="13">
        <f>IF(AND(H104&gt;0,I104&gt;0,J104&gt;0),ROUND(H104*I104*J104/139,1),"")</f>
        <v/>
      </c>
      <c r="O104" s="13">
        <f>IF(G104="","",IF(N104="",G104,MAX(G104,N104)))</f>
        <v/>
      </c>
    </row>
    <row r="105">
      <c r="A105" s="8" t="inlineStr">
        <is>
          <t>2-aluminum-cap</t>
        </is>
      </c>
      <c r="B105" s="9" t="inlineStr">
        <is>
          <t>2" Flat Press Cap - Black</t>
        </is>
      </c>
      <c r="C105" s="8" t="inlineStr">
        <is>
          <t>Gates</t>
        </is>
      </c>
      <c r="D105" s="9" t="inlineStr"/>
      <c r="E105" s="8" t="inlineStr">
        <is>
          <t>AG-38089</t>
        </is>
      </c>
      <c r="F105" s="10" t="n">
        <v>10.71</v>
      </c>
      <c r="G105" s="11" t="n"/>
      <c r="H105" s="11" t="n"/>
      <c r="I105" s="11" t="n"/>
      <c r="J105" s="11" t="n"/>
      <c r="K105" s="12" t="n">
        <v>1</v>
      </c>
      <c r="L105" s="12" t="n"/>
      <c r="M105" s="12" t="n"/>
      <c r="N105" s="13">
        <f>IF(AND(H105&gt;0,I105&gt;0,J105&gt;0),ROUND(H105*I105*J105/139,1),"")</f>
        <v/>
      </c>
      <c r="O105" s="13">
        <f>IF(G105="","",IF(N105="",G105,MAX(G105,N105)))</f>
        <v/>
      </c>
    </row>
    <row r="106">
      <c r="A106" s="8" t="inlineStr">
        <is>
          <t>2x2-in-square-post-6ft-black</t>
        </is>
      </c>
      <c r="B106" s="9" t="inlineStr">
        <is>
          <t>2x2 in. Square post 6 ft. - Black</t>
        </is>
      </c>
      <c r="C106" s="8" t="inlineStr">
        <is>
          <t>Gates</t>
        </is>
      </c>
      <c r="D106" s="9" t="inlineStr"/>
      <c r="E106" s="8" t="inlineStr">
        <is>
          <t>AG-60025</t>
        </is>
      </c>
      <c r="F106" s="10" t="n">
        <v>64.7</v>
      </c>
      <c r="G106" s="11" t="n"/>
      <c r="H106" s="11" t="n"/>
      <c r="I106" s="11" t="n"/>
      <c r="J106" s="11" t="n"/>
      <c r="K106" s="12" t="n">
        <v>1</v>
      </c>
      <c r="L106" s="12" t="n"/>
      <c r="M106" s="12" t="n"/>
      <c r="N106" s="13">
        <f>IF(AND(H106&gt;0,I106&gt;0,J106&gt;0),ROUND(H106*I106*J106/139,1),"")</f>
        <v/>
      </c>
      <c r="O106" s="13">
        <f>IF(G106="","",IF(N106="",G106,MAX(G106,N106)))</f>
        <v/>
      </c>
    </row>
    <row r="107">
      <c r="A107" s="8" t="inlineStr">
        <is>
          <t>2x2-in-square-post-24-ft-black-with-screw-bush</t>
        </is>
      </c>
      <c r="B107" s="9" t="inlineStr">
        <is>
          <t>2x2 in. Square post 24 ft. - Black (with screw bush)</t>
        </is>
      </c>
      <c r="C107" s="8" t="inlineStr">
        <is>
          <t>Gates</t>
        </is>
      </c>
      <c r="D107" s="9" t="inlineStr"/>
      <c r="E107" s="8" t="inlineStr">
        <is>
          <t>AGST-P051-080</t>
        </is>
      </c>
      <c r="F107" s="10" t="n">
        <v>251.76</v>
      </c>
      <c r="G107" s="11" t="n"/>
      <c r="H107" s="11" t="n"/>
      <c r="I107" s="11" t="n"/>
      <c r="J107" s="11" t="n"/>
      <c r="K107" s="12" t="n">
        <v>1</v>
      </c>
      <c r="L107" s="12" t="n"/>
      <c r="M107" s="12" t="n"/>
      <c r="N107" s="13">
        <f>IF(AND(H107&gt;0,I107&gt;0,J107&gt;0),ROUND(H107*I107*J107/139,1),"")</f>
        <v/>
      </c>
      <c r="O107" s="13">
        <f>IF(G107="","",IF(N107="",G107,MAX(G107,N107)))</f>
        <v/>
      </c>
    </row>
    <row r="108">
      <c r="A108" s="8" t="inlineStr">
        <is>
          <t>base-plate-4x4</t>
        </is>
      </c>
      <c r="B108" s="9" t="inlineStr">
        <is>
          <t>BASE PLATE 4X4</t>
        </is>
      </c>
      <c r="C108" s="8" t="inlineStr">
        <is>
          <t>Gates</t>
        </is>
      </c>
      <c r="D108" s="9" t="inlineStr"/>
      <c r="E108" s="8" t="inlineStr">
        <is>
          <t>26597</t>
        </is>
      </c>
      <c r="F108" s="10" t="n">
        <v>26.28</v>
      </c>
      <c r="G108" s="11" t="n"/>
      <c r="H108" s="11" t="n"/>
      <c r="I108" s="11" t="n"/>
      <c r="J108" s="11" t="n"/>
      <c r="K108" s="12" t="n">
        <v>1</v>
      </c>
      <c r="L108" s="12" t="n"/>
      <c r="M108" s="12" t="n"/>
      <c r="N108" s="13">
        <f>IF(AND(H108&gt;0,I108&gt;0,J108&gt;0),ROUND(H108*I108*J108/139,1),"")</f>
        <v/>
      </c>
      <c r="O108" s="13">
        <f>IF(G108="","",IF(N108="",G108,MAX(G108,N108)))</f>
        <v/>
      </c>
    </row>
    <row r="109">
      <c r="A109" s="8" t="inlineStr">
        <is>
          <t>3-aluminum-cap</t>
        </is>
      </c>
      <c r="B109" s="9" t="inlineStr">
        <is>
          <t>3" Flat Press Cap - Black</t>
        </is>
      </c>
      <c r="C109" s="8" t="inlineStr">
        <is>
          <t>Gates</t>
        </is>
      </c>
      <c r="D109" s="9" t="inlineStr"/>
      <c r="E109" s="8" t="inlineStr">
        <is>
          <t>AG-60033</t>
        </is>
      </c>
      <c r="F109" s="10" t="n">
        <v>13.71</v>
      </c>
      <c r="G109" s="11" t="n"/>
      <c r="H109" s="11" t="n"/>
      <c r="I109" s="11" t="n"/>
      <c r="J109" s="11" t="n"/>
      <c r="K109" s="12" t="n">
        <v>1</v>
      </c>
      <c r="L109" s="12" t="n"/>
      <c r="M109" s="12" t="n"/>
      <c r="N109" s="13">
        <f>IF(AND(H109&gt;0,I109&gt;0,J109&gt;0),ROUND(H109*I109*J109/139,1),"")</f>
        <v/>
      </c>
      <c r="O109" s="13">
        <f>IF(G109="","",IF(N109="",G109,MAX(G109,N109)))</f>
        <v/>
      </c>
    </row>
    <row r="110">
      <c r="A110" s="8" t="inlineStr">
        <is>
          <t>3x3-in-x-6ft-square-post-090-thk-black</t>
        </is>
      </c>
      <c r="B110" s="9" t="inlineStr">
        <is>
          <t>3x3 in. x 6ft. Square Post (.090 Thk) - Black</t>
        </is>
      </c>
      <c r="C110" s="8" t="inlineStr">
        <is>
          <t>Gates</t>
        </is>
      </c>
      <c r="D110" s="9" t="inlineStr"/>
      <c r="E110" s="8" t="inlineStr">
        <is>
          <t>AGST-P052-083</t>
        </is>
      </c>
      <c r="F110" s="10" t="n">
        <v>101.75</v>
      </c>
      <c r="G110" s="11" t="n"/>
      <c r="H110" s="11" t="n"/>
      <c r="I110" s="11" t="n"/>
      <c r="J110" s="11" t="n"/>
      <c r="K110" s="12" t="n">
        <v>1</v>
      </c>
      <c r="L110" s="12" t="n"/>
      <c r="M110" s="12" t="n"/>
      <c r="N110" s="13">
        <f>IF(AND(H110&gt;0,I110&gt;0,J110&gt;0),ROUND(H110*I110*J110/139,1),"")</f>
        <v/>
      </c>
      <c r="O110" s="13">
        <f>IF(G110="","",IF(N110="",G110,MAX(G110,N110)))</f>
        <v/>
      </c>
    </row>
    <row r="111">
      <c r="A111" s="8" t="inlineStr">
        <is>
          <t>new-hd-3-x-3-x-12ft-0120-walls-black</t>
        </is>
      </c>
      <c r="B111" s="9" t="inlineStr">
        <is>
          <t>3x3 in. x 12 ft. HD Square Post (.090 Thk) - Black</t>
        </is>
      </c>
      <c r="C111" s="8" t="inlineStr">
        <is>
          <t>Gates</t>
        </is>
      </c>
      <c r="D111" s="9" t="inlineStr"/>
      <c r="E111" s="8" t="inlineStr">
        <is>
          <t>AG-37475</t>
        </is>
      </c>
      <c r="F111" s="10" t="n">
        <v>203</v>
      </c>
      <c r="G111" s="11" t="n"/>
      <c r="H111" s="11" t="n"/>
      <c r="I111" s="11" t="n"/>
      <c r="J111" s="11" t="n"/>
      <c r="K111" s="12" t="n">
        <v>1</v>
      </c>
      <c r="L111" s="12" t="n"/>
      <c r="M111" s="12" t="n"/>
      <c r="N111" s="13">
        <f>IF(AND(H111&gt;0,I111&gt;0,J111&gt;0),ROUND(H111*I111*J111/139,1),"")</f>
        <v/>
      </c>
      <c r="O111" s="13">
        <f>IF(G111="","",IF(N111="",G111,MAX(G111,N111)))</f>
        <v/>
      </c>
    </row>
    <row r="112">
      <c r="A112" s="8" t="inlineStr">
        <is>
          <t>hd-3-x-3-x-8ft-0120-walls-black</t>
        </is>
      </c>
      <c r="B112" s="9" t="inlineStr">
        <is>
          <t>3x3 in. x 8 ft. HD Square Post (.090 Thk) - Black</t>
        </is>
      </c>
      <c r="C112" s="8" t="inlineStr">
        <is>
          <t>Gates</t>
        </is>
      </c>
      <c r="D112" s="9" t="inlineStr"/>
      <c r="E112" s="8" t="inlineStr">
        <is>
          <t>AG-37472</t>
        </is>
      </c>
      <c r="F112" s="10" t="n">
        <v>147.03</v>
      </c>
      <c r="G112" s="11" t="n"/>
      <c r="H112" s="11" t="n"/>
      <c r="I112" s="11" t="n"/>
      <c r="J112" s="11" t="n"/>
      <c r="K112" s="12" t="n">
        <v>1</v>
      </c>
      <c r="L112" s="12" t="n"/>
      <c r="M112" s="12" t="n"/>
      <c r="N112" s="13">
        <f>IF(AND(H112&gt;0,I112&gt;0,J112&gt;0),ROUND(H112*I112*J112/139,1),"")</f>
        <v/>
      </c>
      <c r="O112" s="13">
        <f>IF(G112="","",IF(N112="",G112,MAX(G112,N112)))</f>
        <v/>
      </c>
    </row>
    <row r="113">
      <c r="A113" s="8" t="inlineStr">
        <is>
          <t>315-aluminum-cap</t>
        </is>
      </c>
      <c r="B113" s="9" t="inlineStr">
        <is>
          <t>3.15" Flat Press Cap - Black</t>
        </is>
      </c>
      <c r="C113" s="8" t="inlineStr">
        <is>
          <t>Gates</t>
        </is>
      </c>
      <c r="D113" s="9" t="inlineStr"/>
      <c r="E113" s="8" t="inlineStr">
        <is>
          <t>AG-60062</t>
        </is>
      </c>
      <c r="F113" s="10" t="n">
        <v>13.71</v>
      </c>
      <c r="G113" s="11" t="n"/>
      <c r="H113" s="11" t="n"/>
      <c r="I113" s="11" t="n"/>
      <c r="J113" s="11" t="n"/>
      <c r="K113" s="12" t="n">
        <v>1</v>
      </c>
      <c r="L113" s="12" t="n"/>
      <c r="M113" s="12" t="n"/>
      <c r="N113" s="13">
        <f>IF(AND(H113&gt;0,I113&gt;0,J113&gt;0),ROUND(H113*I113*J113/139,1),"")</f>
        <v/>
      </c>
      <c r="O113" s="13">
        <f>IF(G113="","",IF(N113="",G113,MAX(G113,N113)))</f>
        <v/>
      </c>
    </row>
    <row r="114">
      <c r="A114" s="8" t="inlineStr">
        <is>
          <t>3-15x3-15-in-square-post-8-ft-black</t>
        </is>
      </c>
      <c r="B114" s="9" t="inlineStr">
        <is>
          <t>3.15x3.15 in. x 8 ft. LD Square Post (.080 Thk) - BL</t>
        </is>
      </c>
      <c r="C114" s="8" t="inlineStr">
        <is>
          <t>Gates</t>
        </is>
      </c>
      <c r="D114" s="9" t="inlineStr"/>
      <c r="E114" s="8" t="inlineStr">
        <is>
          <t>AG-60071</t>
        </is>
      </c>
      <c r="F114" s="10" t="n">
        <v>95.73999999999999</v>
      </c>
      <c r="G114" s="11" t="n"/>
      <c r="H114" s="11" t="n"/>
      <c r="I114" s="11" t="n"/>
      <c r="J114" s="11" t="n"/>
      <c r="K114" s="12" t="n">
        <v>1</v>
      </c>
      <c r="L114" s="12" t="n"/>
      <c r="M114" s="12" t="n"/>
      <c r="N114" s="13">
        <f>IF(AND(H114&gt;0,I114&gt;0,J114&gt;0),ROUND(H114*I114*J114/139,1),"")</f>
        <v/>
      </c>
      <c r="O114" s="13">
        <f>IF(G114="","",IF(N114="",G114,MAX(G114,N114)))</f>
        <v/>
      </c>
    </row>
    <row r="115">
      <c r="A115" s="8" t="inlineStr">
        <is>
          <t>3-15x3-15-in-light-duty-square-post-11-ft-080-thickness-black</t>
        </is>
      </c>
      <c r="B115" s="9" t="inlineStr">
        <is>
          <t>3.15x3.15 in. Light Duty Square post 11 ft. (.080 Thickness) - Black</t>
        </is>
      </c>
      <c r="C115" s="8" t="inlineStr">
        <is>
          <t>Gates</t>
        </is>
      </c>
      <c r="D115" s="9" t="inlineStr"/>
      <c r="E115" s="8" t="inlineStr">
        <is>
          <t>AG-60092</t>
        </is>
      </c>
      <c r="F115" s="10" t="n">
        <v>128.8</v>
      </c>
      <c r="G115" s="11" t="n"/>
      <c r="H115" s="11" t="n"/>
      <c r="I115" s="11" t="n"/>
      <c r="J115" s="11" t="n"/>
      <c r="K115" s="12" t="n">
        <v>1</v>
      </c>
      <c r="L115" s="12" t="n"/>
      <c r="M115" s="12" t="n"/>
      <c r="N115" s="13">
        <f>IF(AND(H115&gt;0,I115&gt;0,J115&gt;0),ROUND(H115*I115*J115/139,1),"")</f>
        <v/>
      </c>
      <c r="O115" s="13">
        <f>IF(G115="","",IF(N115="",G115,MAX(G115,N115)))</f>
        <v/>
      </c>
    </row>
    <row r="116">
      <c r="A116" s="8" t="inlineStr">
        <is>
          <t>4-aluminum-cap</t>
        </is>
      </c>
      <c r="B116" s="9" t="inlineStr">
        <is>
          <t>4" Flat Press Cap - Black</t>
        </is>
      </c>
      <c r="C116" s="8" t="inlineStr">
        <is>
          <t>Gates</t>
        </is>
      </c>
      <c r="D116" s="9" t="inlineStr"/>
      <c r="E116" s="8" t="inlineStr">
        <is>
          <t>AG-60122</t>
        </is>
      </c>
      <c r="F116" s="10" t="n">
        <v>23.76</v>
      </c>
      <c r="G116" s="11" t="n"/>
      <c r="H116" s="11" t="n"/>
      <c r="I116" s="11" t="n"/>
      <c r="J116" s="11" t="n"/>
      <c r="K116" s="12" t="n">
        <v>1</v>
      </c>
      <c r="L116" s="12" t="n"/>
      <c r="M116" s="12" t="n"/>
      <c r="N116" s="13">
        <f>IF(AND(H116&gt;0,I116&gt;0,J116&gt;0),ROUND(H116*I116*J116/139,1),"")</f>
        <v/>
      </c>
      <c r="O116" s="13">
        <f>IF(G116="","",IF(N116="",G116,MAX(G116,N116)))</f>
        <v/>
      </c>
    </row>
    <row r="117">
      <c r="A117" s="8" t="inlineStr">
        <is>
          <t>new-hd-4-x-4-x-8ft-125-walls-black</t>
        </is>
      </c>
      <c r="B117" s="9" t="inlineStr">
        <is>
          <t>4x4 in. x 8ft. HD Square Post (.125 Thk) - Black</t>
        </is>
      </c>
      <c r="C117" s="8" t="inlineStr">
        <is>
          <t>Gates</t>
        </is>
      </c>
      <c r="D117" s="9" t="inlineStr"/>
      <c r="E117" s="8" t="inlineStr">
        <is>
          <t>AG-37478</t>
        </is>
      </c>
      <c r="F117" s="10" t="n">
        <v>179.74</v>
      </c>
      <c r="G117" s="11" t="n"/>
      <c r="H117" s="11" t="n"/>
      <c r="I117" s="11" t="n"/>
      <c r="J117" s="11" t="n"/>
      <c r="K117" s="12" t="n">
        <v>1</v>
      </c>
      <c r="L117" s="12" t="n"/>
      <c r="M117" s="12" t="n"/>
      <c r="N117" s="13">
        <f>IF(AND(H117&gt;0,I117&gt;0,J117&gt;0),ROUND(H117*I117*J117/139,1),"")</f>
        <v/>
      </c>
      <c r="O117" s="13">
        <f>IF(G117="","",IF(N117="",G117,MAX(G117,N117)))</f>
        <v/>
      </c>
    </row>
    <row r="118">
      <c r="A118" s="8" t="inlineStr">
        <is>
          <t>new-hd-4-x-4-x-11ft-125-walls-black</t>
        </is>
      </c>
      <c r="B118" s="9" t="inlineStr">
        <is>
          <t>4x4 in. x 11 ft. HD Square Post (.125 Thk) - Black</t>
        </is>
      </c>
      <c r="C118" s="8" t="inlineStr">
        <is>
          <t>Gates</t>
        </is>
      </c>
      <c r="D118" s="9" t="inlineStr"/>
      <c r="E118" s="8" t="inlineStr">
        <is>
          <t>AG-37481</t>
        </is>
      </c>
      <c r="F118" s="10" t="n">
        <v>260</v>
      </c>
      <c r="G118" s="11" t="n"/>
      <c r="H118" s="11" t="n"/>
      <c r="I118" s="11" t="n"/>
      <c r="J118" s="11" t="n"/>
      <c r="K118" s="12" t="n">
        <v>1</v>
      </c>
      <c r="L118" s="12" t="n"/>
      <c r="M118" s="12" t="n"/>
      <c r="N118" s="13">
        <f>IF(AND(H118&gt;0,I118&gt;0,J118&gt;0),ROUND(H118*I118*J118/139,1),"")</f>
        <v/>
      </c>
      <c r="O118" s="13">
        <f>IF(G118="","",IF(N118="",G118,MAX(G118,N118)))</f>
        <v/>
      </c>
    </row>
    <row r="119">
      <c r="A119" s="8" t="inlineStr">
        <is>
          <t>4x4-in-x-12ft-hd-square-post-125-thk-black</t>
        </is>
      </c>
      <c r="B119" s="9" t="inlineStr">
        <is>
          <t>4x4 in. x 12ft. HD Square Post (.125 Thk) - Black</t>
        </is>
      </c>
      <c r="C119" s="8" t="inlineStr">
        <is>
          <t>Gates</t>
        </is>
      </c>
      <c r="D119" s="9" t="inlineStr"/>
      <c r="E119" s="8" t="inlineStr">
        <is>
          <t>AGST-P054-093</t>
        </is>
      </c>
      <c r="F119" s="10" t="n">
        <v>336</v>
      </c>
      <c r="G119" s="11" t="n"/>
      <c r="H119" s="11" t="n"/>
      <c r="I119" s="11" t="n"/>
      <c r="J119" s="11" t="n"/>
      <c r="K119" s="12" t="n">
        <v>1</v>
      </c>
      <c r="L119" s="12" t="n"/>
      <c r="M119" s="12" t="n"/>
      <c r="N119" s="13">
        <f>IF(AND(H119&gt;0,I119&gt;0,J119&gt;0),ROUND(H119*I119*J119/139,1),"")</f>
        <v/>
      </c>
      <c r="O119" s="13">
        <f>IF(G119="","",IF(N119="",G119,MAX(G119,N119)))</f>
        <v/>
      </c>
    </row>
    <row r="120">
      <c r="A120" s="8" t="inlineStr">
        <is>
          <t>bolt-washer-nut-black</t>
        </is>
      </c>
      <c r="B120" s="9" t="inlineStr">
        <is>
          <t>Bolt + Washer + Nut Black</t>
        </is>
      </c>
      <c r="C120" s="8" t="inlineStr">
        <is>
          <t>Gates</t>
        </is>
      </c>
      <c r="D120" s="9" t="inlineStr"/>
      <c r="E120" s="8" t="inlineStr">
        <is>
          <t>AGST-P082-174</t>
        </is>
      </c>
      <c r="F120" s="10" t="n">
        <v>7.54</v>
      </c>
      <c r="G120" s="11" t="n"/>
      <c r="H120" s="11" t="n"/>
      <c r="I120" s="11" t="n"/>
      <c r="J120" s="11" t="n"/>
      <c r="K120" s="12" t="n">
        <v>1</v>
      </c>
      <c r="L120" s="12" t="n"/>
      <c r="M120" s="12" t="n"/>
      <c r="N120" s="13">
        <f>IF(AND(H120&gt;0,I120&gt;0,J120&gt;0),ROUND(H120*I120*J120/139,1),"")</f>
        <v/>
      </c>
      <c r="O120" s="13">
        <f>IF(G120="","",IF(N120="",G120,MAX(G120,N120)))</f>
        <v/>
      </c>
    </row>
    <row r="121">
      <c r="A121" s="8" t="inlineStr">
        <is>
          <t>5-16-x-2-1-2-hex-head-washer</t>
        </is>
      </c>
      <c r="B121" s="9" t="inlineStr">
        <is>
          <t>5/16" x 2-1/2" Hex Head &amp; Washer</t>
        </is>
      </c>
      <c r="C121" s="8" t="inlineStr">
        <is>
          <t>Gates</t>
        </is>
      </c>
      <c r="D121" s="9" t="inlineStr"/>
      <c r="E121" s="8" t="inlineStr">
        <is>
          <t>AGST-P082-175</t>
        </is>
      </c>
      <c r="F121" s="10" t="n">
        <v>4.1</v>
      </c>
      <c r="G121" s="11" t="n"/>
      <c r="H121" s="11" t="n"/>
      <c r="I121" s="11" t="n"/>
      <c r="J121" s="11" t="n"/>
      <c r="K121" s="12" t="n">
        <v>1</v>
      </c>
      <c r="L121" s="12" t="n"/>
      <c r="M121" s="12" t="n"/>
      <c r="N121" s="13">
        <f>IF(AND(H121&gt;0,I121&gt;0,J121&gt;0),ROUND(H121*I121*J121/139,1),"")</f>
        <v/>
      </c>
      <c r="O121" s="13">
        <f>IF(G121="","",IF(N121="",G121,MAX(G121,N121)))</f>
        <v/>
      </c>
    </row>
    <row r="122">
      <c r="A122" s="8" t="inlineStr">
        <is>
          <t>3-8-x-3-3-4-wedge-anchor</t>
        </is>
      </c>
      <c r="B122" s="9" t="inlineStr">
        <is>
          <t>3/8" x 3-3/4" Wedge Anchor</t>
        </is>
      </c>
      <c r="C122" s="8" t="inlineStr">
        <is>
          <t>Gates</t>
        </is>
      </c>
      <c r="D122" s="9" t="inlineStr"/>
      <c r="E122" s="8" t="inlineStr">
        <is>
          <t>AGST-P082-176</t>
        </is>
      </c>
      <c r="F122" s="10" t="n">
        <v>1.83</v>
      </c>
      <c r="G122" s="11" t="n"/>
      <c r="H122" s="11" t="n"/>
      <c r="I122" s="11" t="n"/>
      <c r="J122" s="11" t="n"/>
      <c r="K122" s="12" t="n">
        <v>1</v>
      </c>
      <c r="L122" s="12" t="n"/>
      <c r="M122" s="12" t="n"/>
      <c r="N122" s="13">
        <f>IF(AND(H122&gt;0,I122&gt;0,J122&gt;0),ROUND(H122*I122*J122/139,1),"")</f>
        <v/>
      </c>
      <c r="O122" s="13">
        <f>IF(G122="","",IF(N122="",G122,MAX(G122,N122)))</f>
        <v/>
      </c>
    </row>
    <row r="123">
      <c r="A123" s="8" t="inlineStr">
        <is>
          <t>14x2-stainless-steel-screws</t>
        </is>
      </c>
      <c r="B123" s="9" t="inlineStr">
        <is>
          <t>#14x2" Stainless Steel Screws</t>
        </is>
      </c>
      <c r="C123" s="8" t="inlineStr">
        <is>
          <t>Gates</t>
        </is>
      </c>
      <c r="D123" s="9" t="inlineStr"/>
      <c r="E123" s="8" t="inlineStr">
        <is>
          <t>AGST-P082-177</t>
        </is>
      </c>
      <c r="F123" s="10" t="n">
        <v>1.12</v>
      </c>
      <c r="G123" s="11" t="n"/>
      <c r="H123" s="11" t="n"/>
      <c r="I123" s="11" t="n"/>
      <c r="J123" s="11" t="n"/>
      <c r="K123" s="12" t="n">
        <v>1</v>
      </c>
      <c r="L123" s="12" t="n"/>
      <c r="M123" s="12" t="n"/>
      <c r="N123" s="13">
        <f>IF(AND(H123&gt;0,I123&gt;0,J123&gt;0),ROUND(H123*I123*J123/139,1),"")</f>
        <v/>
      </c>
      <c r="O123" s="13">
        <f>IF(G123="","",IF(N123="",G123,MAX(G123,N123)))</f>
        <v/>
      </c>
    </row>
    <row r="124">
      <c r="A124" s="8" t="inlineStr">
        <is>
          <t>14x2-stainless-steel-screws-black</t>
        </is>
      </c>
      <c r="B124" s="9" t="inlineStr">
        <is>
          <t>#14x2" Stainless Steel Screws - Black</t>
        </is>
      </c>
      <c r="C124" s="8" t="inlineStr">
        <is>
          <t>Gates</t>
        </is>
      </c>
      <c r="D124" s="9" t="inlineStr"/>
      <c r="E124" s="8" t="inlineStr">
        <is>
          <t>AGST-P082-178</t>
        </is>
      </c>
      <c r="F124" s="10" t="n">
        <v>1.12</v>
      </c>
      <c r="G124" s="11" t="n"/>
      <c r="H124" s="11" t="n"/>
      <c r="I124" s="11" t="n"/>
      <c r="J124" s="11" t="n"/>
      <c r="K124" s="12" t="n">
        <v>1</v>
      </c>
      <c r="L124" s="12" t="n"/>
      <c r="M124" s="12" t="n"/>
      <c r="N124" s="13">
        <f>IF(AND(H124&gt;0,I124&gt;0,J124&gt;0),ROUND(H124*I124*J124/139,1),"")</f>
        <v/>
      </c>
      <c r="O124" s="13">
        <f>IF(G124="","",IF(N124="",G124,MAX(G124,N124)))</f>
        <v/>
      </c>
    </row>
    <row r="125">
      <c r="A125" s="8" t="inlineStr">
        <is>
          <t>12-x-4-hex-washer-head-tek-s-s-sealer-washer</t>
        </is>
      </c>
      <c r="B125" s="9" t="inlineStr">
        <is>
          <t>#12 x 4" Hex Washer Head Tek S/S + Sealer Washer</t>
        </is>
      </c>
      <c r="C125" s="8" t="inlineStr">
        <is>
          <t>Gates</t>
        </is>
      </c>
      <c r="D125" s="9" t="inlineStr"/>
      <c r="E125" s="8" t="inlineStr">
        <is>
          <t>AGST-P083-179</t>
        </is>
      </c>
      <c r="F125" s="10" t="n">
        <v>1.69</v>
      </c>
      <c r="G125" s="11" t="n"/>
      <c r="H125" s="11" t="n"/>
      <c r="I125" s="11" t="n"/>
      <c r="J125" s="11" t="n"/>
      <c r="K125" s="12" t="n">
        <v>1</v>
      </c>
      <c r="L125" s="12" t="n"/>
      <c r="M125" s="12" t="n"/>
      <c r="N125" s="13">
        <f>IF(AND(H125&gt;0,I125&gt;0,J125&gt;0),ROUND(H125*I125*J125/139,1),"")</f>
        <v/>
      </c>
      <c r="O125" s="13">
        <f>IF(G125="","",IF(N125="",G125,MAX(G125,N125)))</f>
        <v/>
      </c>
    </row>
    <row r="126">
      <c r="A126" s="8" t="inlineStr">
        <is>
          <t>14x1-stainless-steel-screw</t>
        </is>
      </c>
      <c r="B126" s="9" t="inlineStr">
        <is>
          <t>#14x1" Stainless Steel Screw</t>
        </is>
      </c>
      <c r="C126" s="8" t="inlineStr">
        <is>
          <t>Gates</t>
        </is>
      </c>
      <c r="D126" s="9" t="inlineStr"/>
      <c r="E126" s="8" t="inlineStr">
        <is>
          <t>AGST-P083-180</t>
        </is>
      </c>
      <c r="F126" s="10" t="n">
        <v>0.57</v>
      </c>
      <c r="G126" s="11" t="n"/>
      <c r="H126" s="11" t="n"/>
      <c r="I126" s="11" t="n"/>
      <c r="J126" s="11" t="n"/>
      <c r="K126" s="12" t="n">
        <v>1</v>
      </c>
      <c r="L126" s="12" t="n"/>
      <c r="M126" s="12" t="n"/>
      <c r="N126" s="13">
        <f>IF(AND(H126&gt;0,I126&gt;0,J126&gt;0),ROUND(H126*I126*J126/139,1),"")</f>
        <v/>
      </c>
      <c r="O126" s="13">
        <f>IF(G126="","",IF(N126="",G126,MAX(G126,N126)))</f>
        <v/>
      </c>
    </row>
    <row r="127">
      <c r="A127" s="8" t="inlineStr">
        <is>
          <t>10x1-phillips-screws-pancake-black</t>
        </is>
      </c>
      <c r="B127" s="9" t="inlineStr">
        <is>
          <t>#10x1" Phillips Screws Pancake - Black</t>
        </is>
      </c>
      <c r="C127" s="8" t="inlineStr">
        <is>
          <t>Gates</t>
        </is>
      </c>
      <c r="D127" s="9" t="inlineStr"/>
      <c r="E127" s="8" t="inlineStr">
        <is>
          <t>AGST-P083-181</t>
        </is>
      </c>
      <c r="F127" s="10" t="n">
        <v>0.5600000000000001</v>
      </c>
      <c r="G127" s="11" t="n"/>
      <c r="H127" s="11" t="n"/>
      <c r="I127" s="11" t="n"/>
      <c r="J127" s="11" t="n"/>
      <c r="K127" s="12" t="n">
        <v>1</v>
      </c>
      <c r="L127" s="12" t="n"/>
      <c r="M127" s="12" t="n"/>
      <c r="N127" s="13">
        <f>IF(AND(H127&gt;0,I127&gt;0,J127&gt;0),ROUND(H127*I127*J127/139,1),"")</f>
        <v/>
      </c>
      <c r="O127" s="13">
        <f>IF(G127="","",IF(N127="",G127,MAX(G127,N127)))</f>
        <v/>
      </c>
    </row>
    <row r="128">
      <c r="A128" s="8" t="inlineStr">
        <is>
          <t>10x3-4-screws</t>
        </is>
      </c>
      <c r="B128" s="9" t="inlineStr">
        <is>
          <t>#10x3/4" Screws</t>
        </is>
      </c>
      <c r="C128" s="8" t="inlineStr">
        <is>
          <t>Gates</t>
        </is>
      </c>
      <c r="D128" s="9" t="inlineStr"/>
      <c r="E128" s="8" t="inlineStr">
        <is>
          <t>AGST-P083-182</t>
        </is>
      </c>
      <c r="F128" s="10" t="n">
        <v>0.41</v>
      </c>
      <c r="G128" s="11" t="n"/>
      <c r="H128" s="11" t="n"/>
      <c r="I128" s="11" t="n"/>
      <c r="J128" s="11" t="n"/>
      <c r="K128" s="12" t="n">
        <v>1</v>
      </c>
      <c r="L128" s="12" t="n"/>
      <c r="M128" s="12" t="n"/>
      <c r="N128" s="13">
        <f>IF(AND(H128&gt;0,I128&gt;0,J128&gt;0),ROUND(H128*I128*J128/139,1),"")</f>
        <v/>
      </c>
      <c r="O128" s="13">
        <f>IF(G128="","",IF(N128="",G128,MAX(G128,N128)))</f>
        <v/>
      </c>
    </row>
    <row r="129">
      <c r="A129" s="8" t="inlineStr">
        <is>
          <t>fence-box-2-75-2-way-end-post-kit-8-ft-black</t>
        </is>
      </c>
      <c r="B129" s="9" t="inlineStr">
        <is>
          <t>(Fence Box) 2.75 2-way End Post Kit 8 ft</t>
        </is>
      </c>
      <c r="C129" s="8" t="inlineStr">
        <is>
          <t>Fences</t>
        </is>
      </c>
      <c r="D129" s="9" t="inlineStr">
        <is>
          <t>Black</t>
        </is>
      </c>
      <c r="E129" s="8" t="inlineStr">
        <is>
          <t>AGST-P035-046-BLACK</t>
        </is>
      </c>
      <c r="F129" s="10" t="n">
        <v>128.58</v>
      </c>
      <c r="G129" s="11" t="n"/>
      <c r="H129" s="11" t="n"/>
      <c r="I129" s="11" t="n"/>
      <c r="J129" s="11" t="n"/>
      <c r="K129" s="12" t="n">
        <v>1</v>
      </c>
      <c r="L129" s="12" t="n"/>
      <c r="M129" s="12" t="n"/>
      <c r="N129" s="13">
        <f>IF(AND(H129&gt;0,I129&gt;0,J129&gt;0),ROUND(H129*I129*J129/139,1),"")</f>
        <v/>
      </c>
      <c r="O129" s="13">
        <f>IF(G129="","",IF(N129="",G129,MAX(G129,N129)))</f>
        <v/>
      </c>
    </row>
    <row r="130">
      <c r="A130" s="8" t="inlineStr">
        <is>
          <t>fence-box-2-75-2-way-end-post-kit-8-ft-black</t>
        </is>
      </c>
      <c r="B130" s="9" t="inlineStr">
        <is>
          <t>(Fence Box) 2.75 2-way End Post Kit 8 ft</t>
        </is>
      </c>
      <c r="C130" s="8" t="inlineStr">
        <is>
          <t>Fences</t>
        </is>
      </c>
      <c r="D130" s="9" t="inlineStr">
        <is>
          <t>Bronze</t>
        </is>
      </c>
      <c r="E130" s="8" t="inlineStr">
        <is>
          <t>AGST-P035-047-BRONZE</t>
        </is>
      </c>
      <c r="F130" s="10" t="n">
        <v>128.58</v>
      </c>
      <c r="G130" s="11" t="n"/>
      <c r="H130" s="11" t="n"/>
      <c r="I130" s="11" t="n"/>
      <c r="J130" s="11" t="n"/>
      <c r="K130" s="12" t="n">
        <v>1</v>
      </c>
      <c r="L130" s="12" t="n"/>
      <c r="M130" s="12" t="n"/>
      <c r="N130" s="13">
        <f>IF(AND(H130&gt;0,I130&gt;0,J130&gt;0),ROUND(H130*I130*J130/139,1),"")</f>
        <v/>
      </c>
      <c r="O130" s="13">
        <f>IF(G130="","",IF(N130="",G130,MAX(G130,N130)))</f>
        <v/>
      </c>
    </row>
    <row r="131">
      <c r="A131" s="8" t="inlineStr">
        <is>
          <t>fence-box-2-75-2-way-end-post-kit-8-ft-black</t>
        </is>
      </c>
      <c r="B131" s="9" t="inlineStr">
        <is>
          <t>(Fence Box) 2.75 2-way End Post Kit 8 ft</t>
        </is>
      </c>
      <c r="C131" s="8" t="inlineStr">
        <is>
          <t>Fences</t>
        </is>
      </c>
      <c r="D131" s="9" t="inlineStr">
        <is>
          <t>White</t>
        </is>
      </c>
      <c r="E131" s="8" t="inlineStr">
        <is>
          <t>AGST-P036-048-WHITE</t>
        </is>
      </c>
      <c r="F131" s="10" t="n">
        <v>128.58</v>
      </c>
      <c r="G131" s="11" t="n"/>
      <c r="H131" s="11" t="n"/>
      <c r="I131" s="11" t="n"/>
      <c r="J131" s="11" t="n"/>
      <c r="K131" s="12" t="n">
        <v>1</v>
      </c>
      <c r="L131" s="12" t="n"/>
      <c r="M131" s="12" t="n"/>
      <c r="N131" s="13">
        <f>IF(AND(H131&gt;0,I131&gt;0,J131&gt;0),ROUND(H131*I131*J131/139,1),"")</f>
        <v/>
      </c>
      <c r="O131" s="13">
        <f>IF(G131="","",IF(N131="",G131,MAX(G131,N131)))</f>
        <v/>
      </c>
    </row>
    <row r="132">
      <c r="A132" s="8" t="inlineStr">
        <is>
          <t>fence-box-2-75-2-way-post-kit-8-ft-black</t>
        </is>
      </c>
      <c r="B132" s="9" t="inlineStr">
        <is>
          <t>(Fence Box) 2.75 2-way Post Kit 8 ft</t>
        </is>
      </c>
      <c r="C132" s="8" t="inlineStr">
        <is>
          <t>Fences</t>
        </is>
      </c>
      <c r="D132" s="9" t="inlineStr">
        <is>
          <t>Black</t>
        </is>
      </c>
      <c r="E132" s="8" t="inlineStr">
        <is>
          <t>AGST-P037-049-BLACK</t>
        </is>
      </c>
      <c r="F132" s="10" t="n">
        <v>127.37</v>
      </c>
      <c r="G132" s="11" t="n"/>
      <c r="H132" s="11" t="n"/>
      <c r="I132" s="11" t="n"/>
      <c r="J132" s="11" t="n"/>
      <c r="K132" s="12" t="n">
        <v>1</v>
      </c>
      <c r="L132" s="12" t="n"/>
      <c r="M132" s="12" t="n"/>
      <c r="N132" s="13">
        <f>IF(AND(H132&gt;0,I132&gt;0,J132&gt;0),ROUND(H132*I132*J132/139,1),"")</f>
        <v/>
      </c>
      <c r="O132" s="13">
        <f>IF(G132="","",IF(N132="",G132,MAX(G132,N132)))</f>
        <v/>
      </c>
    </row>
    <row r="133">
      <c r="A133" s="8" t="inlineStr">
        <is>
          <t>fence-box-2-75-2-way-post-kit-8-ft-black</t>
        </is>
      </c>
      <c r="B133" s="9" t="inlineStr">
        <is>
          <t>(Fence Box) 2.75 2-way Post Kit 8 ft</t>
        </is>
      </c>
      <c r="C133" s="8" t="inlineStr">
        <is>
          <t>Fences</t>
        </is>
      </c>
      <c r="D133" s="9" t="inlineStr">
        <is>
          <t>Bronze</t>
        </is>
      </c>
      <c r="E133" s="8" t="inlineStr">
        <is>
          <t>AGST-P038-050-BRONZE</t>
        </is>
      </c>
      <c r="F133" s="10" t="n">
        <v>127.37</v>
      </c>
      <c r="G133" s="11" t="n"/>
      <c r="H133" s="11" t="n"/>
      <c r="I133" s="11" t="n"/>
      <c r="J133" s="11" t="n"/>
      <c r="K133" s="12" t="n">
        <v>1</v>
      </c>
      <c r="L133" s="12" t="n"/>
      <c r="M133" s="12" t="n"/>
      <c r="N133" s="13">
        <f>IF(AND(H133&gt;0,I133&gt;0,J133&gt;0),ROUND(H133*I133*J133/139,1),"")</f>
        <v/>
      </c>
      <c r="O133" s="13">
        <f>IF(G133="","",IF(N133="",G133,MAX(G133,N133)))</f>
        <v/>
      </c>
    </row>
    <row r="134">
      <c r="A134" s="8" t="inlineStr">
        <is>
          <t>fence-box-2-75-2-way-post-kit-8-ft-black</t>
        </is>
      </c>
      <c r="B134" s="9" t="inlineStr">
        <is>
          <t>(Fence Box) 2.75 2-way Post Kit 8 ft</t>
        </is>
      </c>
      <c r="C134" s="8" t="inlineStr">
        <is>
          <t>Fences</t>
        </is>
      </c>
      <c r="D134" s="9" t="inlineStr">
        <is>
          <t>White</t>
        </is>
      </c>
      <c r="E134" s="8" t="inlineStr">
        <is>
          <t>AGST-P039-051-WHITE</t>
        </is>
      </c>
      <c r="F134" s="10" t="n">
        <v>127.37</v>
      </c>
      <c r="G134" s="11" t="n"/>
      <c r="H134" s="11" t="n"/>
      <c r="I134" s="11" t="n"/>
      <c r="J134" s="11" t="n"/>
      <c r="K134" s="12" t="n">
        <v>1</v>
      </c>
      <c r="L134" s="12" t="n"/>
      <c r="M134" s="12" t="n"/>
      <c r="N134" s="13">
        <f>IF(AND(H134&gt;0,I134&gt;0,J134&gt;0),ROUND(H134*I134*J134/139,1),"")</f>
        <v/>
      </c>
      <c r="O134" s="13">
        <f>IF(G134="","",IF(N134="",G134,MAX(G134,N134)))</f>
        <v/>
      </c>
    </row>
    <row r="135">
      <c r="A135" s="8" t="inlineStr">
        <is>
          <t>pack-of-30pcs-2-75-2-way-post-spacers-3-8-in-black</t>
        </is>
      </c>
      <c r="B135" s="9" t="inlineStr">
        <is>
          <t>(Pack of 30pcs) 2.75 2-way Post Spacers 3/8 in.</t>
        </is>
      </c>
      <c r="C135" s="8" t="inlineStr">
        <is>
          <t>Fences</t>
        </is>
      </c>
      <c r="D135" s="9" t="inlineStr">
        <is>
          <t>Black</t>
        </is>
      </c>
      <c r="E135" s="8" t="inlineStr">
        <is>
          <t>AGST-P040-052-BLACK</t>
        </is>
      </c>
      <c r="F135" s="10" t="n">
        <v>12.13</v>
      </c>
      <c r="G135" s="11" t="n"/>
      <c r="H135" s="11" t="n"/>
      <c r="I135" s="11" t="n"/>
      <c r="J135" s="11" t="n"/>
      <c r="K135" s="12" t="n">
        <v>1</v>
      </c>
      <c r="L135" s="12" t="n"/>
      <c r="M135" s="12" t="n"/>
      <c r="N135" s="13">
        <f>IF(AND(H135&gt;0,I135&gt;0,J135&gt;0),ROUND(H135*I135*J135/139,1),"")</f>
        <v/>
      </c>
      <c r="O135" s="13">
        <f>IF(G135="","",IF(N135="",G135,MAX(G135,N135)))</f>
        <v/>
      </c>
    </row>
    <row r="136">
      <c r="A136" s="8" t="inlineStr">
        <is>
          <t>pack-of-30pcs-2-75-2-way-post-spacers-3-8-in-black</t>
        </is>
      </c>
      <c r="B136" s="9" t="inlineStr">
        <is>
          <t>(Pack of 30pcs) 2.75 2-way Post Spacers 3/8 in.</t>
        </is>
      </c>
      <c r="C136" s="8" t="inlineStr">
        <is>
          <t>Fences</t>
        </is>
      </c>
      <c r="D136" s="9" t="inlineStr">
        <is>
          <t>Bronze</t>
        </is>
      </c>
      <c r="E136" s="8" t="inlineStr">
        <is>
          <t>AGST-P040-053-BRONZE</t>
        </is>
      </c>
      <c r="F136" s="10" t="n">
        <v>12.13</v>
      </c>
      <c r="G136" s="11" t="n"/>
      <c r="H136" s="11" t="n"/>
      <c r="I136" s="11" t="n"/>
      <c r="J136" s="11" t="n"/>
      <c r="K136" s="12" t="n">
        <v>1</v>
      </c>
      <c r="L136" s="12" t="n"/>
      <c r="M136" s="12" t="n"/>
      <c r="N136" s="13">
        <f>IF(AND(H136&gt;0,I136&gt;0,J136&gt;0),ROUND(H136*I136*J136/139,1),"")</f>
        <v/>
      </c>
      <c r="O136" s="13">
        <f>IF(G136="","",IF(N136="",G136,MAX(G136,N136)))</f>
        <v/>
      </c>
    </row>
    <row r="137">
      <c r="A137" s="8" t="inlineStr">
        <is>
          <t>pack-of-30pcs-2-75-2-way-post-spacers-3-8-in-black</t>
        </is>
      </c>
      <c r="B137" s="9" t="inlineStr">
        <is>
          <t>(Pack of 30pcs) 2.75 2-way Post Spacers 3/8 in.</t>
        </is>
      </c>
      <c r="C137" s="8" t="inlineStr">
        <is>
          <t>Fences</t>
        </is>
      </c>
      <c r="D137" s="9" t="inlineStr">
        <is>
          <t>White</t>
        </is>
      </c>
      <c r="E137" s="8" t="inlineStr">
        <is>
          <t>AGST-P041-054-WHITE</t>
        </is>
      </c>
      <c r="F137" s="10" t="n">
        <v>12.13</v>
      </c>
      <c r="G137" s="11" t="n"/>
      <c r="H137" s="11" t="n"/>
      <c r="I137" s="11" t="n"/>
      <c r="J137" s="11" t="n"/>
      <c r="K137" s="12" t="n">
        <v>1</v>
      </c>
      <c r="L137" s="12" t="n"/>
      <c r="M137" s="12" t="n"/>
      <c r="N137" s="13">
        <f>IF(AND(H137&gt;0,I137&gt;0,J137&gt;0),ROUND(H137*I137*J137/139,1),"")</f>
        <v/>
      </c>
      <c r="O137" s="13">
        <f>IF(G137="","",IF(N137="",G137,MAX(G137,N137)))</f>
        <v/>
      </c>
    </row>
    <row r="138">
      <c r="A138" s="8" t="inlineStr">
        <is>
          <t>pack-of-32pcs-2-75-2-way-post-spacers-1-4-in-black</t>
        </is>
      </c>
      <c r="B138" s="9" t="inlineStr">
        <is>
          <t>(Pack of 32pcs) 2.75 2-way Post Spacers 1/4 in.</t>
        </is>
      </c>
      <c r="C138" s="8" t="inlineStr">
        <is>
          <t>Fences</t>
        </is>
      </c>
      <c r="D138" s="9" t="inlineStr">
        <is>
          <t>Black</t>
        </is>
      </c>
      <c r="E138" s="8" t="inlineStr">
        <is>
          <t>AGST-P041-055-BLACK</t>
        </is>
      </c>
      <c r="F138" s="10" t="n">
        <v>12.13</v>
      </c>
      <c r="G138" s="11" t="n"/>
      <c r="H138" s="11" t="n"/>
      <c r="I138" s="11" t="n"/>
      <c r="J138" s="11" t="n"/>
      <c r="K138" s="12" t="n">
        <v>1</v>
      </c>
      <c r="L138" s="12" t="n"/>
      <c r="M138" s="12" t="n"/>
      <c r="N138" s="13">
        <f>IF(AND(H138&gt;0,I138&gt;0,J138&gt;0),ROUND(H138*I138*J138/139,1),"")</f>
        <v/>
      </c>
      <c r="O138" s="13">
        <f>IF(G138="","",IF(N138="",G138,MAX(G138,N138)))</f>
        <v/>
      </c>
    </row>
    <row r="139">
      <c r="A139" s="8" t="inlineStr">
        <is>
          <t>pack-of-32pcs-2-75-2-way-post-spacers-1-4-in-black</t>
        </is>
      </c>
      <c r="B139" s="9" t="inlineStr">
        <is>
          <t>(Pack of 32pcs) 2.75 2-way Post Spacers 1/4 in.</t>
        </is>
      </c>
      <c r="C139" s="8" t="inlineStr">
        <is>
          <t>Fences</t>
        </is>
      </c>
      <c r="D139" s="9" t="inlineStr">
        <is>
          <t>Bronze</t>
        </is>
      </c>
      <c r="E139" s="8" t="inlineStr">
        <is>
          <t>AGST-P041-056-BRONZE</t>
        </is>
      </c>
      <c r="F139" s="10" t="n">
        <v>12.13</v>
      </c>
      <c r="G139" s="11" t="n"/>
      <c r="H139" s="11" t="n"/>
      <c r="I139" s="11" t="n"/>
      <c r="J139" s="11" t="n"/>
      <c r="K139" s="12" t="n">
        <v>1</v>
      </c>
      <c r="L139" s="12" t="n"/>
      <c r="M139" s="12" t="n"/>
      <c r="N139" s="13">
        <f>IF(AND(H139&gt;0,I139&gt;0,J139&gt;0),ROUND(H139*I139*J139/139,1),"")</f>
        <v/>
      </c>
      <c r="O139" s="13">
        <f>IF(G139="","",IF(N139="",G139,MAX(G139,N139)))</f>
        <v/>
      </c>
    </row>
    <row r="140">
      <c r="A140" s="8" t="inlineStr">
        <is>
          <t>pack-of-30pcs-2-75-2-way-post-spacers-1-2-in-black</t>
        </is>
      </c>
      <c r="B140" s="9" t="inlineStr">
        <is>
          <t>(Pack of 30pcs) 2.75 2-way Post Spacers 1/2 in.</t>
        </is>
      </c>
      <c r="C140" s="8" t="inlineStr">
        <is>
          <t>Fences</t>
        </is>
      </c>
      <c r="D140" s="9" t="inlineStr">
        <is>
          <t>Black</t>
        </is>
      </c>
      <c r="E140" s="8" t="inlineStr">
        <is>
          <t>AGST-P041-057-BLACK</t>
        </is>
      </c>
      <c r="F140" s="10" t="n">
        <v>12.53</v>
      </c>
      <c r="G140" s="11" t="n"/>
      <c r="H140" s="11" t="n"/>
      <c r="I140" s="11" t="n"/>
      <c r="J140" s="11" t="n"/>
      <c r="K140" s="12" t="n">
        <v>1</v>
      </c>
      <c r="L140" s="12" t="n"/>
      <c r="M140" s="12" t="n"/>
      <c r="N140" s="13">
        <f>IF(AND(H140&gt;0,I140&gt;0,J140&gt;0),ROUND(H140*I140*J140/139,1),"")</f>
        <v/>
      </c>
      <c r="O140" s="13">
        <f>IF(G140="","",IF(N140="",G140,MAX(G140,N140)))</f>
        <v/>
      </c>
    </row>
    <row r="141">
      <c r="A141" s="8" t="inlineStr">
        <is>
          <t>pack-of-30pcs-2-75-2-way-post-spacers-1-2-in-black</t>
        </is>
      </c>
      <c r="B141" s="9" t="inlineStr">
        <is>
          <t>(Pack of 30pcs) 2.75 2-way Post Spacers 1/2 in.</t>
        </is>
      </c>
      <c r="C141" s="8" t="inlineStr">
        <is>
          <t>Fences</t>
        </is>
      </c>
      <c r="D141" s="9" t="inlineStr">
        <is>
          <t>Bronze</t>
        </is>
      </c>
      <c r="E141" s="8" t="inlineStr">
        <is>
          <t>AGST-P041-058-BRONZE</t>
        </is>
      </c>
      <c r="F141" s="10" t="n">
        <v>12.53</v>
      </c>
      <c r="G141" s="11" t="n"/>
      <c r="H141" s="11" t="n"/>
      <c r="I141" s="11" t="n"/>
      <c r="J141" s="11" t="n"/>
      <c r="K141" s="12" t="n">
        <v>1</v>
      </c>
      <c r="L141" s="12" t="n"/>
      <c r="M141" s="12" t="n"/>
      <c r="N141" s="13">
        <f>IF(AND(H141&gt;0,I141&gt;0,J141&gt;0),ROUND(H141*I141*J141/139,1),"")</f>
        <v/>
      </c>
      <c r="O141" s="13">
        <f>IF(G141="","",IF(N141="",G141,MAX(G141,N141)))</f>
        <v/>
      </c>
    </row>
    <row r="142">
      <c r="A142" s="8" t="inlineStr">
        <is>
          <t>2-75-2-way-post-spacers-1-4-in-black</t>
        </is>
      </c>
      <c r="B142" s="9" t="inlineStr">
        <is>
          <t>2.75 2-way Post Spacers 1/4 in. - Black</t>
        </is>
      </c>
      <c r="C142" s="8" t="inlineStr">
        <is>
          <t>Fences</t>
        </is>
      </c>
      <c r="D142" s="9" t="inlineStr"/>
      <c r="E142" s="8" t="inlineStr">
        <is>
          <t>AGST-P043-065</t>
        </is>
      </c>
      <c r="F142" s="10" t="n">
        <v>0.66</v>
      </c>
      <c r="G142" s="11" t="n"/>
      <c r="H142" s="11" t="n"/>
      <c r="I142" s="11" t="n"/>
      <c r="J142" s="11" t="n"/>
      <c r="K142" s="12" t="n">
        <v>1</v>
      </c>
      <c r="L142" s="12" t="n"/>
      <c r="M142" s="12" t="n"/>
      <c r="N142" s="13">
        <f>IF(AND(H142&gt;0,I142&gt;0,J142&gt;0),ROUND(H142*I142*J142/139,1),"")</f>
        <v/>
      </c>
      <c r="O142" s="13">
        <f>IF(G142="","",IF(N142="",G142,MAX(G142,N142)))</f>
        <v/>
      </c>
    </row>
    <row r="143">
      <c r="A143" s="8" t="inlineStr">
        <is>
          <t>new-3-8-spacer</t>
        </is>
      </c>
      <c r="B143" s="9" t="inlineStr">
        <is>
          <t>3/8 spacer(new)</t>
        </is>
      </c>
      <c r="C143" s="8" t="inlineStr">
        <is>
          <t>Fences</t>
        </is>
      </c>
      <c r="D143" s="9" t="inlineStr"/>
      <c r="E143" s="8" t="inlineStr">
        <is>
          <t>AG-37960</t>
        </is>
      </c>
      <c r="F143" s="10" t="n">
        <v>0.89</v>
      </c>
      <c r="G143" s="11" t="n"/>
      <c r="H143" s="11" t="n"/>
      <c r="I143" s="11" t="n"/>
      <c r="J143" s="11" t="n"/>
      <c r="K143" s="12" t="n">
        <v>1</v>
      </c>
      <c r="L143" s="12" t="n"/>
      <c r="M143" s="12" t="n"/>
      <c r="N143" s="13">
        <f>IF(AND(H143&gt;0,I143&gt;0,J143&gt;0),ROUND(H143*I143*J143/139,1),"")</f>
        <v/>
      </c>
      <c r="O143" s="13">
        <f>IF(G143="","",IF(N143="",G143,MAX(G143,N143)))</f>
        <v/>
      </c>
    </row>
    <row r="144">
      <c r="A144" s="8" t="inlineStr">
        <is>
          <t>new-1-2-spacer</t>
        </is>
      </c>
      <c r="B144" s="9" t="inlineStr">
        <is>
          <t>1/2 spacer(new)</t>
        </is>
      </c>
      <c r="C144" s="8" t="inlineStr">
        <is>
          <t>Fences</t>
        </is>
      </c>
      <c r="D144" s="9" t="inlineStr"/>
      <c r="E144" s="8" t="inlineStr">
        <is>
          <t>AG-37962</t>
        </is>
      </c>
      <c r="F144" s="10" t="n">
        <v>0.95</v>
      </c>
      <c r="G144" s="11" t="n"/>
      <c r="H144" s="11" t="n"/>
      <c r="I144" s="11" t="n"/>
      <c r="J144" s="11" t="n"/>
      <c r="K144" s="12" t="n">
        <v>1</v>
      </c>
      <c r="L144" s="12" t="n"/>
      <c r="M144" s="12" t="n"/>
      <c r="N144" s="13">
        <f>IF(AND(H144&gt;0,I144&gt;0,J144&gt;0),ROUND(H144*I144*J144/139,1),"")</f>
        <v/>
      </c>
      <c r="O144" s="13">
        <f>IF(G144="","",IF(N144="",G144,MAX(G144,N144)))</f>
        <v/>
      </c>
    </row>
    <row r="145">
      <c r="A145" s="8" t="inlineStr">
        <is>
          <t>new-2-spacer-2-75</t>
        </is>
      </c>
      <c r="B145" s="9" t="inlineStr">
        <is>
          <t>2" spacer 2.75(new)</t>
        </is>
      </c>
      <c r="C145" s="8" t="inlineStr">
        <is>
          <t>Fences</t>
        </is>
      </c>
      <c r="D145" s="9" t="inlineStr"/>
      <c r="E145" s="8" t="inlineStr">
        <is>
          <t>AG-37957</t>
        </is>
      </c>
      <c r="F145" s="10" t="n">
        <v>1.24</v>
      </c>
      <c r="G145" s="11" t="n"/>
      <c r="H145" s="11" t="n"/>
      <c r="I145" s="11" t="n"/>
      <c r="J145" s="11" t="n"/>
      <c r="K145" s="12" t="n">
        <v>1</v>
      </c>
      <c r="L145" s="12" t="n"/>
      <c r="M145" s="12" t="n"/>
      <c r="N145" s="13">
        <f>IF(AND(H145&gt;0,I145&gt;0,J145&gt;0),ROUND(H145*I145*J145/139,1),"")</f>
        <v/>
      </c>
      <c r="O145" s="13">
        <f>IF(G145="","",IF(N145="",G145,MAX(G145,N145)))</f>
        <v/>
      </c>
    </row>
    <row r="146">
      <c r="A146" s="8" t="inlineStr">
        <is>
          <t>2-75-2-way-post-spacers-2-in-with-screws-ss-black</t>
        </is>
      </c>
      <c r="B146" s="9" t="inlineStr">
        <is>
          <t>2.75 2-way Post Spacers 2 in. with screws - SS/Black</t>
        </is>
      </c>
      <c r="C146" s="8" t="inlineStr">
        <is>
          <t>Fences</t>
        </is>
      </c>
      <c r="D146" s="9" t="inlineStr"/>
      <c r="E146" s="8" t="inlineStr">
        <is>
          <t>AGST-P044-069</t>
        </is>
      </c>
      <c r="F146" s="10" t="n">
        <v>1.16</v>
      </c>
      <c r="G146" s="11" t="n"/>
      <c r="H146" s="11" t="n"/>
      <c r="I146" s="11" t="n"/>
      <c r="J146" s="11" t="n"/>
      <c r="K146" s="12" t="n">
        <v>1</v>
      </c>
      <c r="L146" s="12" t="n"/>
      <c r="M146" s="12" t="n"/>
      <c r="N146" s="13">
        <f>IF(AND(H146&gt;0,I146&gt;0,J146&gt;0),ROUND(H146*I146*J146/139,1),"")</f>
        <v/>
      </c>
      <c r="O146" s="13">
        <f>IF(G146="","",IF(N146="",G146,MAX(G146,N146)))</f>
        <v/>
      </c>
    </row>
    <row r="147">
      <c r="A147" s="8" t="inlineStr">
        <is>
          <t>box-alu-40-slat-0-047-thk-x-8ft-16pcs-black</t>
        </is>
      </c>
      <c r="B147" s="9" t="inlineStr">
        <is>
          <t>(Box) ALU 40 Slat 0.047 THK x 8ft (16pcs)</t>
        </is>
      </c>
      <c r="C147" s="8" t="inlineStr">
        <is>
          <t>Fences</t>
        </is>
      </c>
      <c r="D147" s="9" t="inlineStr">
        <is>
          <t>Black</t>
        </is>
      </c>
      <c r="E147" s="8" t="inlineStr">
        <is>
          <t>AGST-P059-109-BLACK</t>
        </is>
      </c>
      <c r="F147" s="10" t="n">
        <v>600.86</v>
      </c>
      <c r="G147" s="11" t="n"/>
      <c r="H147" s="11" t="n"/>
      <c r="I147" s="11" t="n"/>
      <c r="J147" s="11" t="n"/>
      <c r="K147" s="12" t="n">
        <v>1</v>
      </c>
      <c r="L147" s="12" t="n"/>
      <c r="M147" s="12" t="n"/>
      <c r="N147" s="13">
        <f>IF(AND(H147&gt;0,I147&gt;0,J147&gt;0),ROUND(H147*I147*J147/139,1),"")</f>
        <v/>
      </c>
      <c r="O147" s="13">
        <f>IF(G147="","",IF(N147="",G147,MAX(G147,N147)))</f>
        <v/>
      </c>
    </row>
    <row r="148">
      <c r="A148" s="8" t="inlineStr">
        <is>
          <t>box-alu-40-slat-0-047-thk-x-8ft-16pcs-black</t>
        </is>
      </c>
      <c r="B148" s="9" t="inlineStr">
        <is>
          <t>(Box) ALU 40 Slat 0.047 THK x 8ft (16pcs)</t>
        </is>
      </c>
      <c r="C148" s="8" t="inlineStr">
        <is>
          <t>Fences</t>
        </is>
      </c>
      <c r="D148" s="9" t="inlineStr">
        <is>
          <t>Bronze</t>
        </is>
      </c>
      <c r="E148" s="8" t="inlineStr">
        <is>
          <t>AGST-P060-110-BRONZE</t>
        </is>
      </c>
      <c r="F148" s="10" t="n">
        <v>600.86</v>
      </c>
      <c r="G148" s="11" t="n"/>
      <c r="H148" s="11" t="n"/>
      <c r="I148" s="11" t="n"/>
      <c r="J148" s="11" t="n"/>
      <c r="K148" s="12" t="n">
        <v>1</v>
      </c>
      <c r="L148" s="12" t="n"/>
      <c r="M148" s="12" t="n"/>
      <c r="N148" s="13">
        <f>IF(AND(H148&gt;0,I148&gt;0,J148&gt;0),ROUND(H148*I148*J148/139,1),"")</f>
        <v/>
      </c>
      <c r="O148" s="13">
        <f>IF(G148="","",IF(N148="",G148,MAX(G148,N148)))</f>
        <v/>
      </c>
    </row>
    <row r="149">
      <c r="A149" s="8" t="inlineStr">
        <is>
          <t>box-alu-40-slat-0-047-thk-x-8ft-16pcs-black</t>
        </is>
      </c>
      <c r="B149" s="9" t="inlineStr">
        <is>
          <t>(Box) ALU 40 Slat 0.047 THK x 8ft (16pcs)</t>
        </is>
      </c>
      <c r="C149" s="8" t="inlineStr">
        <is>
          <t>Fences</t>
        </is>
      </c>
      <c r="D149" s="9" t="inlineStr">
        <is>
          <t>White</t>
        </is>
      </c>
      <c r="E149" s="8" t="inlineStr">
        <is>
          <t>AGST-P060-111-WHITE</t>
        </is>
      </c>
      <c r="F149" s="10" t="n">
        <v>600.86</v>
      </c>
      <c r="G149" s="11" t="n"/>
      <c r="H149" s="11" t="n"/>
      <c r="I149" s="11" t="n"/>
      <c r="J149" s="11" t="n"/>
      <c r="K149" s="12" t="n">
        <v>1</v>
      </c>
      <c r="L149" s="12" t="n"/>
      <c r="M149" s="12" t="n"/>
      <c r="N149" s="13">
        <f>IF(AND(H149&gt;0,I149&gt;0,J149&gt;0),ROUND(H149*I149*J149/139,1),"")</f>
        <v/>
      </c>
      <c r="O149" s="13">
        <f>IF(G149="","",IF(N149="",G149,MAX(G149,N149)))</f>
        <v/>
      </c>
    </row>
    <row r="150">
      <c r="A150" s="8" t="inlineStr">
        <is>
          <t>from-box-alu-40-slat-0-047-thk-x-8ft-black</t>
        </is>
      </c>
      <c r="B150" s="9" t="inlineStr">
        <is>
          <t>(From Box) ALU 40 Slat 0.047 THK x 8ft</t>
        </is>
      </c>
      <c r="C150" s="8" t="inlineStr">
        <is>
          <t>Fences</t>
        </is>
      </c>
      <c r="D150" s="9" t="inlineStr">
        <is>
          <t>Black</t>
        </is>
      </c>
      <c r="E150" s="8" t="inlineStr">
        <is>
          <t>AGST-P060-112-BLACK</t>
        </is>
      </c>
      <c r="F150" s="10" t="n">
        <v>42.17</v>
      </c>
      <c r="G150" s="11" t="n"/>
      <c r="H150" s="11" t="n"/>
      <c r="I150" s="11" t="n"/>
      <c r="J150" s="11" t="n"/>
      <c r="K150" s="12" t="n">
        <v>1</v>
      </c>
      <c r="L150" s="12" t="n"/>
      <c r="M150" s="12" t="n"/>
      <c r="N150" s="13">
        <f>IF(AND(H150&gt;0,I150&gt;0,J150&gt;0),ROUND(H150*I150*J150/139,1),"")</f>
        <v/>
      </c>
      <c r="O150" s="13">
        <f>IF(G150="","",IF(N150="",G150,MAX(G150,N150)))</f>
        <v/>
      </c>
    </row>
    <row r="151">
      <c r="A151" s="8" t="inlineStr">
        <is>
          <t>from-box-alu-40-slat-0-047-thk-x-8ft-black</t>
        </is>
      </c>
      <c r="B151" s="9" t="inlineStr">
        <is>
          <t>(From Box) ALU 40 Slat 0.047 THK x 8ft</t>
        </is>
      </c>
      <c r="C151" s="8" t="inlineStr">
        <is>
          <t>Fences</t>
        </is>
      </c>
      <c r="D151" s="9" t="inlineStr">
        <is>
          <t>Bronze</t>
        </is>
      </c>
      <c r="E151" s="8" t="inlineStr">
        <is>
          <t>AGST-P060-113-BRONZE</t>
        </is>
      </c>
      <c r="F151" s="10" t="n">
        <v>42.17</v>
      </c>
      <c r="G151" s="11" t="n"/>
      <c r="H151" s="11" t="n"/>
      <c r="I151" s="11" t="n"/>
      <c r="J151" s="11" t="n"/>
      <c r="K151" s="12" t="n">
        <v>1</v>
      </c>
      <c r="L151" s="12" t="n"/>
      <c r="M151" s="12" t="n"/>
      <c r="N151" s="13">
        <f>IF(AND(H151&gt;0,I151&gt;0,J151&gt;0),ROUND(H151*I151*J151/139,1),"")</f>
        <v/>
      </c>
      <c r="O151" s="13">
        <f>IF(G151="","",IF(N151="",G151,MAX(G151,N151)))</f>
        <v/>
      </c>
    </row>
    <row r="152">
      <c r="A152" s="8" t="inlineStr">
        <is>
          <t>from-box-alu-40-slat-0-047-thk-x-8ft-black</t>
        </is>
      </c>
      <c r="B152" s="9" t="inlineStr">
        <is>
          <t>(From Box) ALU 40 Slat 0.047 THK x 8ft</t>
        </is>
      </c>
      <c r="C152" s="8" t="inlineStr">
        <is>
          <t>Fences</t>
        </is>
      </c>
      <c r="D152" s="9" t="inlineStr">
        <is>
          <t>White</t>
        </is>
      </c>
      <c r="E152" s="8" t="inlineStr">
        <is>
          <t>AGST-P061-114-WHITE</t>
        </is>
      </c>
      <c r="F152" s="10" t="n">
        <v>42.17</v>
      </c>
      <c r="G152" s="11" t="n"/>
      <c r="H152" s="11" t="n"/>
      <c r="I152" s="11" t="n"/>
      <c r="J152" s="11" t="n"/>
      <c r="K152" s="12" t="n">
        <v>1</v>
      </c>
      <c r="L152" s="12" t="n"/>
      <c r="M152" s="12" t="n"/>
      <c r="N152" s="13">
        <f>IF(AND(H152&gt;0,I152&gt;0,J152&gt;0),ROUND(H152*I152*J152/139,1),"")</f>
        <v/>
      </c>
      <c r="O152" s="13">
        <f>IF(G152="","",IF(N152="",G152,MAX(G152,N152)))</f>
        <v/>
      </c>
    </row>
    <row r="153">
      <c r="A153" s="8" t="inlineStr">
        <is>
          <t>from-box-top-rail-0-059-thk-8-ft-black</t>
        </is>
      </c>
      <c r="B153" s="9" t="inlineStr">
        <is>
          <t>(From Box) Top Rail 0.059 THK - 8 ft.</t>
        </is>
      </c>
      <c r="C153" s="8" t="inlineStr">
        <is>
          <t>Fences</t>
        </is>
      </c>
      <c r="D153" s="9" t="inlineStr">
        <is>
          <t>Black</t>
        </is>
      </c>
      <c r="E153" s="8" t="inlineStr">
        <is>
          <t>AGST-P061-115-BLACK</t>
        </is>
      </c>
      <c r="F153" s="10" t="n">
        <v>22.61</v>
      </c>
      <c r="G153" s="11" t="n"/>
      <c r="H153" s="11" t="n"/>
      <c r="I153" s="11" t="n"/>
      <c r="J153" s="11" t="n"/>
      <c r="K153" s="12" t="n">
        <v>1</v>
      </c>
      <c r="L153" s="12" t="n"/>
      <c r="M153" s="12" t="n"/>
      <c r="N153" s="13">
        <f>IF(AND(H153&gt;0,I153&gt;0,J153&gt;0),ROUND(H153*I153*J153/139,1),"")</f>
        <v/>
      </c>
      <c r="O153" s="13">
        <f>IF(G153="","",IF(N153="",G153,MAX(G153,N153)))</f>
        <v/>
      </c>
    </row>
    <row r="154">
      <c r="A154" s="8" t="inlineStr">
        <is>
          <t>from-box-top-rail-0-059-thk-8-ft-black</t>
        </is>
      </c>
      <c r="B154" s="9" t="inlineStr">
        <is>
          <t>(From Box) Top Rail 0.059 THK - 8 ft.</t>
        </is>
      </c>
      <c r="C154" s="8" t="inlineStr">
        <is>
          <t>Fences</t>
        </is>
      </c>
      <c r="D154" s="9" t="inlineStr">
        <is>
          <t>Bronze</t>
        </is>
      </c>
      <c r="E154" s="8" t="inlineStr">
        <is>
          <t>AGST-P061-116-BRONZE</t>
        </is>
      </c>
      <c r="F154" s="10" t="n">
        <v>22.61</v>
      </c>
      <c r="G154" s="11" t="n"/>
      <c r="H154" s="11" t="n"/>
      <c r="I154" s="11" t="n"/>
      <c r="J154" s="11" t="n"/>
      <c r="K154" s="12" t="n">
        <v>1</v>
      </c>
      <c r="L154" s="12" t="n"/>
      <c r="M154" s="12" t="n"/>
      <c r="N154" s="13">
        <f>IF(AND(H154&gt;0,I154&gt;0,J154&gt;0),ROUND(H154*I154*J154/139,1),"")</f>
        <v/>
      </c>
      <c r="O154" s="13">
        <f>IF(G154="","",IF(N154="",G154,MAX(G154,N154)))</f>
        <v/>
      </c>
    </row>
    <row r="155">
      <c r="A155" s="8" t="inlineStr">
        <is>
          <t>from-box-top-rail-0-059-thk-8-ft-black</t>
        </is>
      </c>
      <c r="B155" s="9" t="inlineStr">
        <is>
          <t>(From Box) Top Rail 0.059 THK - 8 ft.</t>
        </is>
      </c>
      <c r="C155" s="8" t="inlineStr">
        <is>
          <t>Fences</t>
        </is>
      </c>
      <c r="D155" s="9" t="inlineStr">
        <is>
          <t>White</t>
        </is>
      </c>
      <c r="E155" s="8" t="inlineStr">
        <is>
          <t>AGST-P062-117-WHITE</t>
        </is>
      </c>
      <c r="F155" s="10" t="n">
        <v>22.61</v>
      </c>
      <c r="G155" s="11" t="n"/>
      <c r="H155" s="11" t="n"/>
      <c r="I155" s="11" t="n"/>
      <c r="J155" s="11" t="n"/>
      <c r="K155" s="12" t="n">
        <v>1</v>
      </c>
      <c r="L155" s="12" t="n"/>
      <c r="M155" s="12" t="n"/>
      <c r="N155" s="13">
        <f>IF(AND(H155&gt;0,I155&gt;0,J155&gt;0),ROUND(H155*I155*J155/139,1),"")</f>
        <v/>
      </c>
      <c r="O155" s="13">
        <f>IF(G155="","",IF(N155="",G155,MAX(G155,N155)))</f>
        <v/>
      </c>
    </row>
    <row r="156">
      <c r="A156" s="8" t="inlineStr">
        <is>
          <t>top-rail-6ft-black</t>
        </is>
      </c>
      <c r="B156" s="9" t="inlineStr">
        <is>
          <t>Top Rail 6ft BLACK</t>
        </is>
      </c>
      <c r="C156" s="8" t="inlineStr">
        <is>
          <t>Fences</t>
        </is>
      </c>
      <c r="D156" s="9" t="inlineStr"/>
      <c r="E156" s="8" t="inlineStr">
        <is>
          <t>26603</t>
        </is>
      </c>
      <c r="F156" s="10" t="n">
        <v>16.95</v>
      </c>
      <c r="G156" s="11" t="n"/>
      <c r="H156" s="11" t="n"/>
      <c r="I156" s="11" t="n"/>
      <c r="J156" s="11" t="n"/>
      <c r="K156" s="12" t="n">
        <v>1</v>
      </c>
      <c r="L156" s="12" t="n"/>
      <c r="M156" s="12" t="n"/>
      <c r="N156" s="13">
        <f>IF(AND(H156&gt;0,I156&gt;0,J156&gt;0),ROUND(H156*I156*J156/139,1),"")</f>
        <v/>
      </c>
      <c r="O156" s="13">
        <f>IF(G156="","",IF(N156="",G156,MAX(G156,N156)))</f>
        <v/>
      </c>
    </row>
    <row r="157">
      <c r="A157" s="8" t="inlineStr">
        <is>
          <t>top-rail-6-5-ft-black</t>
        </is>
      </c>
      <c r="B157" s="9" t="inlineStr">
        <is>
          <t>Top Rail 6.5 ft. - Black</t>
        </is>
      </c>
      <c r="C157" s="8" t="inlineStr">
        <is>
          <t>Fences</t>
        </is>
      </c>
      <c r="D157" s="9" t="inlineStr"/>
      <c r="E157" s="8" t="inlineStr">
        <is>
          <t>AG-63797</t>
        </is>
      </c>
      <c r="F157" s="10" t="n">
        <v>19.69</v>
      </c>
      <c r="G157" s="11" t="n"/>
      <c r="H157" s="11" t="n"/>
      <c r="I157" s="11" t="n"/>
      <c r="J157" s="11" t="n"/>
      <c r="K157" s="12" t="n">
        <v>1</v>
      </c>
      <c r="L157" s="12" t="n"/>
      <c r="M157" s="12" t="n"/>
      <c r="N157" s="13">
        <f>IF(AND(H157&gt;0,I157&gt;0,J157&gt;0),ROUND(H157*I157*J157/139,1),"")</f>
        <v/>
      </c>
      <c r="O157" s="13">
        <f>IF(G157="","",IF(N157="",G157,MAX(G157,N157)))</f>
        <v/>
      </c>
    </row>
    <row r="158">
      <c r="A158" s="8" t="inlineStr">
        <is>
          <t>top-rail-18ft-black</t>
        </is>
      </c>
      <c r="B158" s="9" t="inlineStr">
        <is>
          <t>Top Rail 18ft - BLACK</t>
        </is>
      </c>
      <c r="C158" s="8" t="inlineStr">
        <is>
          <t>Fences</t>
        </is>
      </c>
      <c r="D158" s="9" t="inlineStr"/>
      <c r="E158" s="8" t="inlineStr">
        <is>
          <t>26603-1</t>
        </is>
      </c>
      <c r="F158" s="10" t="n">
        <v>50.85</v>
      </c>
      <c r="G158" s="11" t="n"/>
      <c r="H158" s="11" t="n"/>
      <c r="I158" s="11" t="n"/>
      <c r="J158" s="11" t="n"/>
      <c r="K158" s="12" t="n">
        <v>1</v>
      </c>
      <c r="L158" s="12" t="n"/>
      <c r="M158" s="12" t="n"/>
      <c r="N158" s="13">
        <f>IF(AND(H158&gt;0,I158&gt;0,J158&gt;0),ROUND(H158*I158*J158/139,1),"")</f>
        <v/>
      </c>
      <c r="O158" s="13">
        <f>IF(G158="","",IF(N158="",G158,MAX(G158,N158)))</f>
        <v/>
      </c>
    </row>
    <row r="159">
      <c r="A159" s="8" t="inlineStr">
        <is>
          <t>alu-40-slat-6-ft-wg-yellow-oak</t>
        </is>
      </c>
      <c r="B159" s="9" t="inlineStr">
        <is>
          <t>ALU 40 Slat 6 ft. - WG - Yellow Oak</t>
        </is>
      </c>
      <c r="C159" s="8" t="inlineStr">
        <is>
          <t>Fences</t>
        </is>
      </c>
      <c r="D159" s="9" t="inlineStr"/>
      <c r="E159" s="8" t="inlineStr">
        <is>
          <t>AGST-P064-125</t>
        </is>
      </c>
      <c r="F159" s="10" t="n">
        <v>38.34</v>
      </c>
      <c r="G159" s="11" t="n"/>
      <c r="H159" s="11" t="n"/>
      <c r="I159" s="11" t="n"/>
      <c r="J159" s="11" t="n"/>
      <c r="K159" s="12" t="n">
        <v>1</v>
      </c>
      <c r="L159" s="12" t="n"/>
      <c r="M159" s="12" t="n"/>
      <c r="N159" s="13">
        <f>IF(AND(H159&gt;0,I159&gt;0,J159&gt;0),ROUND(H159*I159*J159/139,1),"")</f>
        <v/>
      </c>
      <c r="O159" s="13">
        <f>IF(G159="","",IF(N159="",G159,MAX(G159,N159)))</f>
        <v/>
      </c>
    </row>
    <row r="160">
      <c r="A160" s="8" t="inlineStr">
        <is>
          <t>alu-40-slat-18-ft-wg-yellow-oak</t>
        </is>
      </c>
      <c r="B160" s="9" t="inlineStr">
        <is>
          <t>ALU 40 Slat 18 ft. - WG - Yellow Oak</t>
        </is>
      </c>
      <c r="C160" s="8" t="inlineStr">
        <is>
          <t>Fences</t>
        </is>
      </c>
      <c r="D160" s="9" t="inlineStr"/>
      <c r="E160" s="8" t="inlineStr">
        <is>
          <t>AGST-P065-126</t>
        </is>
      </c>
      <c r="F160" s="10" t="n">
        <v>113.68</v>
      </c>
      <c r="G160" s="11" t="n"/>
      <c r="H160" s="11" t="n"/>
      <c r="I160" s="11" t="n"/>
      <c r="J160" s="11" t="n"/>
      <c r="K160" s="12" t="n">
        <v>1</v>
      </c>
      <c r="L160" s="12" t="n"/>
      <c r="M160" s="12" t="n"/>
      <c r="N160" s="13">
        <f>IF(AND(H160&gt;0,I160&gt;0,J160&gt;0),ROUND(H160*I160*J160/139,1),"")</f>
        <v/>
      </c>
      <c r="O160" s="13">
        <f>IF(G160="","",IF(N160="",G160,MAX(G160,N160)))</f>
        <v/>
      </c>
    </row>
    <row r="161">
      <c r="A161" s="8" t="inlineStr">
        <is>
          <t>aluminum-fence-kit-alu20-slat-6-x-6-horizontal-black-1-2-gap</t>
        </is>
      </c>
      <c r="B161" s="9" t="inlineStr">
        <is>
          <t>Aluminum Fence Kit Alu20 SLAT 6' x 6' Horizontal Black 1/2 GAP</t>
        </is>
      </c>
      <c r="C161" s="8" t="inlineStr">
        <is>
          <t>Fences</t>
        </is>
      </c>
      <c r="D161" s="9" t="inlineStr"/>
      <c r="E161" s="8" t="inlineStr">
        <is>
          <t>AG-38464</t>
        </is>
      </c>
      <c r="F161" s="10" t="n">
        <v>780.53</v>
      </c>
      <c r="G161" s="11" t="n"/>
      <c r="H161" s="11" t="n"/>
      <c r="I161" s="11" t="n"/>
      <c r="J161" s="11" t="n"/>
      <c r="K161" s="12" t="n">
        <v>1</v>
      </c>
      <c r="L161" s="12" t="n"/>
      <c r="M161" s="12" t="n"/>
      <c r="N161" s="13">
        <f>IF(AND(H161&gt;0,I161&gt;0,J161&gt;0),ROUND(H161*I161*J161/139,1),"")</f>
        <v/>
      </c>
      <c r="O161" s="13">
        <f>IF(G161="","",IF(N161="",G161,MAX(G161,N161)))</f>
        <v/>
      </c>
    </row>
    <row r="162">
      <c r="A162" s="8" t="inlineStr">
        <is>
          <t>alu-40-8ft-x-6ft-h-2way-post-fence-kit-gap-1-2-black</t>
        </is>
      </c>
      <c r="B162" s="9" t="inlineStr">
        <is>
          <t>Alu 40 - 8ft x 6ft H 2way post Fence Kit - GAP 1/2"</t>
        </is>
      </c>
      <c r="C162" s="8" t="inlineStr">
        <is>
          <t>Fences</t>
        </is>
      </c>
      <c r="D162" s="9" t="inlineStr">
        <is>
          <t>Black</t>
        </is>
      </c>
      <c r="E162" s="8" t="inlineStr">
        <is>
          <t>AGST-P047-072-BLACK</t>
        </is>
      </c>
      <c r="F162" s="10" t="n">
        <v>753.58</v>
      </c>
      <c r="G162" s="11" t="n"/>
      <c r="H162" s="11" t="n"/>
      <c r="I162" s="11" t="n"/>
      <c r="J162" s="11" t="n"/>
      <c r="K162" s="12" t="n">
        <v>1</v>
      </c>
      <c r="L162" s="12" t="n"/>
      <c r="M162" s="12" t="n"/>
      <c r="N162" s="13">
        <f>IF(AND(H162&gt;0,I162&gt;0,J162&gt;0),ROUND(H162*I162*J162/139,1),"")</f>
        <v/>
      </c>
      <c r="O162" s="13">
        <f>IF(G162="","",IF(N162="",G162,MAX(G162,N162)))</f>
        <v/>
      </c>
    </row>
    <row r="163">
      <c r="A163" s="8" t="inlineStr">
        <is>
          <t>alu-40-8ft-x-6ft-h-2way-post-fence-kit-gap-1-2-black</t>
        </is>
      </c>
      <c r="B163" s="9" t="inlineStr">
        <is>
          <t>Alu 40 - 8ft x 6ft H 2way post Fence Kit - GAP 1/2"</t>
        </is>
      </c>
      <c r="C163" s="8" t="inlineStr">
        <is>
          <t>Fences</t>
        </is>
      </c>
      <c r="D163" s="9" t="inlineStr">
        <is>
          <t>Bronze</t>
        </is>
      </c>
      <c r="E163" s="8" t="inlineStr">
        <is>
          <t>AGST-P047-073-BRONZE</t>
        </is>
      </c>
      <c r="F163" s="10" t="n">
        <v>753.58</v>
      </c>
      <c r="G163" s="11" t="n"/>
      <c r="H163" s="11" t="n"/>
      <c r="I163" s="11" t="n"/>
      <c r="J163" s="11" t="n"/>
      <c r="K163" s="12" t="n">
        <v>1</v>
      </c>
      <c r="L163" s="12" t="n"/>
      <c r="M163" s="12" t="n"/>
      <c r="N163" s="13">
        <f>IF(AND(H163&gt;0,I163&gt;0,J163&gt;0),ROUND(H163*I163*J163/139,1),"")</f>
        <v/>
      </c>
      <c r="O163" s="13">
        <f>IF(G163="","",IF(N163="",G163,MAX(G163,N163)))</f>
        <v/>
      </c>
    </row>
    <row r="164">
      <c r="A164" s="8" t="inlineStr">
        <is>
          <t>alu-40-8ft-x-6ft-h-2way-post-fence-kit-gap-1-2-black</t>
        </is>
      </c>
      <c r="B164" s="9" t="inlineStr">
        <is>
          <t>Alu 40 - 8ft x 6ft H 2way post Fence Kit - GAP 1/2"</t>
        </is>
      </c>
      <c r="C164" s="8" t="inlineStr">
        <is>
          <t>Fences</t>
        </is>
      </c>
      <c r="D164" s="9" t="inlineStr">
        <is>
          <t>White</t>
        </is>
      </c>
      <c r="E164" s="8" t="inlineStr">
        <is>
          <t>AGST-P048-074-WHITE</t>
        </is>
      </c>
      <c r="F164" s="10" t="n">
        <v>753.58</v>
      </c>
      <c r="G164" s="11" t="n"/>
      <c r="H164" s="11" t="n"/>
      <c r="I164" s="11" t="n"/>
      <c r="J164" s="11" t="n"/>
      <c r="K164" s="12" t="n">
        <v>1</v>
      </c>
      <c r="L164" s="12" t="n"/>
      <c r="M164" s="12" t="n"/>
      <c r="N164" s="13">
        <f>IF(AND(H164&gt;0,I164&gt;0,J164&gt;0),ROUND(H164*I164*J164/139,1),"")</f>
        <v/>
      </c>
      <c r="O164" s="13">
        <f>IF(G164="","",IF(N164="",G164,MAX(G164,N164)))</f>
        <v/>
      </c>
    </row>
    <row r="165">
      <c r="A165" s="8" t="inlineStr">
        <is>
          <t>alu-60-tg-8ft-x-6ft-h-2way-post-fence-kit-gap-1-2</t>
        </is>
      </c>
      <c r="B165" s="9" t="inlineStr">
        <is>
          <t>Alu 60 T&amp;G - 8ft x 6ft H 2way post Fence Kit - GAP 1/2"</t>
        </is>
      </c>
      <c r="C165" s="8" t="inlineStr">
        <is>
          <t>Fences</t>
        </is>
      </c>
      <c r="D165" s="9" t="inlineStr">
        <is>
          <t>Black</t>
        </is>
      </c>
      <c r="E165" s="8" t="inlineStr">
        <is>
          <t>AGST-P048-075-BLACK</t>
        </is>
      </c>
      <c r="F165" s="10" t="n">
        <v>805.55</v>
      </c>
      <c r="G165" s="11" t="n"/>
      <c r="H165" s="11" t="n"/>
      <c r="I165" s="11" t="n"/>
      <c r="J165" s="11" t="n"/>
      <c r="K165" s="12" t="n">
        <v>1</v>
      </c>
      <c r="L165" s="12" t="n"/>
      <c r="M165" s="12" t="n"/>
      <c r="N165" s="13">
        <f>IF(AND(H165&gt;0,I165&gt;0,J165&gt;0),ROUND(H165*I165*J165/139,1),"")</f>
        <v/>
      </c>
      <c r="O165" s="13">
        <f>IF(G165="","",IF(N165="",G165,MAX(G165,N165)))</f>
        <v/>
      </c>
    </row>
    <row r="166">
      <c r="A166" s="8" t="inlineStr">
        <is>
          <t>alu-60-tg-8ft-x-6ft-h-2way-post-fence-kit-gap-1-2</t>
        </is>
      </c>
      <c r="B166" s="9" t="inlineStr">
        <is>
          <t>Alu 60 T&amp;G - 8ft x 6ft H 2way post Fence Kit - GAP 1/2"</t>
        </is>
      </c>
      <c r="C166" s="8" t="inlineStr">
        <is>
          <t>Fences</t>
        </is>
      </c>
      <c r="D166" s="9" t="inlineStr">
        <is>
          <t>Bronze</t>
        </is>
      </c>
      <c r="E166" s="8" t="inlineStr">
        <is>
          <t>AGST-P049-076-BRONZE</t>
        </is>
      </c>
      <c r="F166" s="10" t="n">
        <v>805.55</v>
      </c>
      <c r="G166" s="11" t="n"/>
      <c r="H166" s="11" t="n"/>
      <c r="I166" s="11" t="n"/>
      <c r="J166" s="11" t="n"/>
      <c r="K166" s="12" t="n">
        <v>1</v>
      </c>
      <c r="L166" s="12" t="n"/>
      <c r="M166" s="12" t="n"/>
      <c r="N166" s="13">
        <f>IF(AND(H166&gt;0,I166&gt;0,J166&gt;0),ROUND(H166*I166*J166/139,1),"")</f>
        <v/>
      </c>
      <c r="O166" s="13">
        <f>IF(G166="","",IF(N166="",G166,MAX(G166,N166)))</f>
        <v/>
      </c>
    </row>
    <row r="167">
      <c r="A167" s="8" t="inlineStr">
        <is>
          <t>alu-60-tg-8ft-x-6ft-h-2way-post-fence-kit-gap-1-2</t>
        </is>
      </c>
      <c r="B167" s="9" t="inlineStr">
        <is>
          <t>Alu 60 T&amp;G - 8ft x 6ft H 2way post Fence Kit - GAP 1/2"</t>
        </is>
      </c>
      <c r="C167" s="8" t="inlineStr">
        <is>
          <t>Fences</t>
        </is>
      </c>
      <c r="D167" s="9" t="inlineStr">
        <is>
          <t>White</t>
        </is>
      </c>
      <c r="E167" s="8" t="inlineStr">
        <is>
          <t>AGST-P050-077-WHITE</t>
        </is>
      </c>
      <c r="F167" s="10" t="n">
        <v>805.55</v>
      </c>
      <c r="G167" s="11" t="n"/>
      <c r="H167" s="11" t="n"/>
      <c r="I167" s="11" t="n"/>
      <c r="J167" s="11" t="n"/>
      <c r="K167" s="12" t="n">
        <v>1</v>
      </c>
      <c r="L167" s="12" t="n"/>
      <c r="M167" s="12" t="n"/>
      <c r="N167" s="13">
        <f>IF(AND(H167&gt;0,I167&gt;0,J167&gt;0),ROUND(H167*I167*J167/139,1),"")</f>
        <v/>
      </c>
      <c r="O167" s="13">
        <f>IF(G167="","",IF(N167="",G167,MAX(G167,N167)))</f>
        <v/>
      </c>
    </row>
    <row r="168">
      <c r="A168" s="8" t="inlineStr">
        <is>
          <t>aluminum-fence-kit-alu40-woodgrain-slat-6-x-6-1-2-gap-2</t>
        </is>
      </c>
      <c r="B168" s="9" t="inlineStr">
        <is>
          <t>Aluminum Fence Kit Alu40 Woodgrain SLAT 6' x 6' 1/2 GAP</t>
        </is>
      </c>
      <c r="C168" s="8" t="inlineStr">
        <is>
          <t>Fences</t>
        </is>
      </c>
      <c r="D168" s="9" t="inlineStr"/>
      <c r="E168" s="8" t="inlineStr">
        <is>
          <t>26830</t>
        </is>
      </c>
      <c r="F168" s="10" t="n">
        <v>832.41</v>
      </c>
      <c r="G168" s="11" t="n"/>
      <c r="H168" s="11" t="n"/>
      <c r="I168" s="11" t="n"/>
      <c r="J168" s="11" t="n"/>
      <c r="K168" s="12" t="n">
        <v>1</v>
      </c>
      <c r="L168" s="12" t="n"/>
      <c r="M168" s="12" t="n"/>
      <c r="N168" s="13">
        <f>IF(AND(H168&gt;0,I168&gt;0,J168&gt;0),ROUND(H168*I168*J168/139,1),"")</f>
        <v/>
      </c>
      <c r="O168" s="13">
        <f>IF(G168="","",IF(N168="",G168,MAX(G168,N168)))</f>
        <v/>
      </c>
    </row>
    <row r="169">
      <c r="A169" s="8" t="inlineStr">
        <is>
          <t>aluminum-fence-kit-alu50-tg-6-x-6-3</t>
        </is>
      </c>
      <c r="B169" s="9" t="inlineStr">
        <is>
          <t>Aluminum Fence Kit Alu50 T&amp;G 6' x 6.3'</t>
        </is>
      </c>
      <c r="C169" s="8" t="inlineStr">
        <is>
          <t>Fences</t>
        </is>
      </c>
      <c r="D169" s="9" t="inlineStr"/>
      <c r="E169" s="8" t="inlineStr">
        <is>
          <t>AG-38571</t>
        </is>
      </c>
      <c r="F169" s="10" t="n">
        <v>844.12</v>
      </c>
      <c r="G169" s="11" t="n"/>
      <c r="H169" s="11" t="n"/>
      <c r="I169" s="11" t="n"/>
      <c r="J169" s="11" t="n"/>
      <c r="K169" s="12" t="n">
        <v>1</v>
      </c>
      <c r="L169" s="12" t="n"/>
      <c r="M169" s="12" t="n"/>
      <c r="N169" s="13">
        <f>IF(AND(H169&gt;0,I169&gt;0,J169&gt;0),ROUND(H169*I169*J169/139,1),"")</f>
        <v/>
      </c>
      <c r="O169" s="13">
        <f>IF(G169="","",IF(N169="",G169,MAX(G169,N169)))</f>
        <v/>
      </c>
    </row>
    <row r="170">
      <c r="A170" s="8" t="inlineStr">
        <is>
          <t>channel-cover-spacers-1-2-in-black</t>
        </is>
      </c>
      <c r="B170" s="9" t="inlineStr">
        <is>
          <t>Channel Cover Spacers 1/2 in. - Black</t>
        </is>
      </c>
      <c r="C170" s="8" t="inlineStr">
        <is>
          <t>Fences</t>
        </is>
      </c>
      <c r="D170" s="9" t="inlineStr"/>
      <c r="E170" s="8" t="inlineStr">
        <is>
          <t>AGST-P055-097</t>
        </is>
      </c>
      <c r="F170" s="10" t="n">
        <v>0.95</v>
      </c>
      <c r="G170" s="11" t="n"/>
      <c r="H170" s="11" t="n"/>
      <c r="I170" s="11" t="n"/>
      <c r="J170" s="11" t="n"/>
      <c r="K170" s="12" t="n">
        <v>1</v>
      </c>
      <c r="L170" s="12" t="n"/>
      <c r="M170" s="12" t="n"/>
      <c r="N170" s="13">
        <f>IF(AND(H170&gt;0,I170&gt;0,J170&gt;0),ROUND(H170*I170*J170/139,1),"")</f>
        <v/>
      </c>
      <c r="O170" s="13">
        <f>IF(G170="","",IF(N170="",G170,MAX(G170,N170)))</f>
        <v/>
      </c>
    </row>
    <row r="171">
      <c r="A171" s="8" t="inlineStr">
        <is>
          <t>channel-cover-spacers-3-8-in-black</t>
        </is>
      </c>
      <c r="B171" s="9" t="inlineStr">
        <is>
          <t>Channel Cover Spacers 3/8 in. - Black</t>
        </is>
      </c>
      <c r="C171" s="8" t="inlineStr">
        <is>
          <t>Fences</t>
        </is>
      </c>
      <c r="D171" s="9" t="inlineStr"/>
      <c r="E171" s="8" t="inlineStr">
        <is>
          <t>AGST-P056-098</t>
        </is>
      </c>
      <c r="F171" s="10" t="n">
        <v>0.89</v>
      </c>
      <c r="G171" s="11" t="n"/>
      <c r="H171" s="11" t="n"/>
      <c r="I171" s="11" t="n"/>
      <c r="J171" s="11" t="n"/>
      <c r="K171" s="12" t="n">
        <v>1</v>
      </c>
      <c r="L171" s="12" t="n"/>
      <c r="M171" s="12" t="n"/>
      <c r="N171" s="13">
        <f>IF(AND(H171&gt;0,I171&gt;0,J171&gt;0),ROUND(H171*I171*J171/139,1),"")</f>
        <v/>
      </c>
      <c r="O171" s="13">
        <f>IF(G171="","",IF(N171="",G171,MAX(G171,N171)))</f>
        <v/>
      </c>
    </row>
    <row r="172">
      <c r="A172" s="8" t="inlineStr">
        <is>
          <t>channel-cover-spacers-3-4-in-black</t>
        </is>
      </c>
      <c r="B172" s="9" t="inlineStr">
        <is>
          <t>Channel Cover Spacers 3/4 in. - Black</t>
        </is>
      </c>
      <c r="C172" s="8" t="inlineStr">
        <is>
          <t>Fences</t>
        </is>
      </c>
      <c r="D172" s="9" t="inlineStr"/>
      <c r="E172" s="8" t="inlineStr">
        <is>
          <t>AGST-P056-099</t>
        </is>
      </c>
      <c r="F172" s="10" t="n">
        <v>1.43</v>
      </c>
      <c r="G172" s="11" t="n"/>
      <c r="H172" s="11" t="n"/>
      <c r="I172" s="11" t="n"/>
      <c r="J172" s="11" t="n"/>
      <c r="K172" s="12" t="n">
        <v>1</v>
      </c>
      <c r="L172" s="12" t="n"/>
      <c r="M172" s="12" t="n"/>
      <c r="N172" s="13">
        <f>IF(AND(H172&gt;0,I172&gt;0,J172&gt;0),ROUND(H172*I172*J172/139,1),"")</f>
        <v/>
      </c>
      <c r="O172" s="13">
        <f>IF(G172="","",IF(N172="",G172,MAX(G172,N172)))</f>
        <v/>
      </c>
    </row>
    <row r="173">
      <c r="A173" s="8" t="inlineStr">
        <is>
          <t>spacer-1</t>
        </is>
      </c>
      <c r="B173" s="9" t="inlineStr">
        <is>
          <t>C-Channel Spacers 1 in. - Black</t>
        </is>
      </c>
      <c r="C173" s="8" t="inlineStr">
        <is>
          <t>Fences</t>
        </is>
      </c>
      <c r="D173" s="9" t="inlineStr"/>
      <c r="E173" s="8" t="inlineStr">
        <is>
          <t>AG-38126</t>
        </is>
      </c>
      <c r="F173" s="10" t="n">
        <v>1</v>
      </c>
      <c r="G173" s="11" t="n"/>
      <c r="H173" s="11" t="n"/>
      <c r="I173" s="11" t="n"/>
      <c r="J173" s="11" t="n"/>
      <c r="K173" s="12" t="n">
        <v>1</v>
      </c>
      <c r="L173" s="12" t="n"/>
      <c r="M173" s="12" t="n"/>
      <c r="N173" s="13">
        <f>IF(AND(H173&gt;0,I173&gt;0,J173&gt;0),ROUND(H173*I173*J173/139,1),"")</f>
        <v/>
      </c>
      <c r="O173" s="13">
        <f>IF(G173="","",IF(N173="",G173,MAX(G173,N173)))</f>
        <v/>
      </c>
    </row>
    <row r="174">
      <c r="A174" s="8" t="inlineStr">
        <is>
          <t>spacer-2</t>
        </is>
      </c>
      <c r="B174" s="9" t="inlineStr">
        <is>
          <t>C-Channel Spacers 2 in. - Black</t>
        </is>
      </c>
      <c r="C174" s="8" t="inlineStr">
        <is>
          <t>Fences</t>
        </is>
      </c>
      <c r="D174" s="9" t="inlineStr"/>
      <c r="E174" s="8" t="inlineStr">
        <is>
          <t>AG-38130</t>
        </is>
      </c>
      <c r="F174" s="10" t="n">
        <v>1.24</v>
      </c>
      <c r="G174" s="11" t="n"/>
      <c r="H174" s="11" t="n"/>
      <c r="I174" s="11" t="n"/>
      <c r="J174" s="11" t="n"/>
      <c r="K174" s="12" t="n">
        <v>1</v>
      </c>
      <c r="L174" s="12" t="n"/>
      <c r="M174" s="12" t="n"/>
      <c r="N174" s="13">
        <f>IF(AND(H174&gt;0,I174&gt;0,J174&gt;0),ROUND(H174*I174*J174/139,1),"")</f>
        <v/>
      </c>
      <c r="O174" s="13">
        <f>IF(G174="","",IF(N174="",G174,MAX(G174,N174)))</f>
        <v/>
      </c>
    </row>
    <row r="175">
      <c r="A175" s="8" t="inlineStr">
        <is>
          <t>channel-cover-spacers-4-in-black</t>
        </is>
      </c>
      <c r="B175" s="9" t="inlineStr">
        <is>
          <t>Channel Cover Spacers 4 in. - Black</t>
        </is>
      </c>
      <c r="C175" s="8" t="inlineStr">
        <is>
          <t>Fences</t>
        </is>
      </c>
      <c r="D175" s="9" t="inlineStr"/>
      <c r="E175" s="8" t="inlineStr">
        <is>
          <t>AGST-P056-102</t>
        </is>
      </c>
      <c r="F175" s="10" t="n">
        <v>2.48</v>
      </c>
      <c r="G175" s="11" t="n"/>
      <c r="H175" s="11" t="n"/>
      <c r="I175" s="11" t="n"/>
      <c r="J175" s="11" t="n"/>
      <c r="K175" s="12" t="n">
        <v>1</v>
      </c>
      <c r="L175" s="12" t="n"/>
      <c r="M175" s="12" t="n"/>
      <c r="N175" s="13">
        <f>IF(AND(H175&gt;0,I175&gt;0,J175&gt;0),ROUND(H175*I175*J175/139,1),"")</f>
        <v/>
      </c>
      <c r="O175" s="13">
        <f>IF(G175="","",IF(N175="",G175,MAX(G175,N175)))</f>
        <v/>
      </c>
    </row>
    <row r="176">
      <c r="A176" s="8" t="inlineStr">
        <is>
          <t>max-rail-3-4-lateral-profilemax-rail-3-4-lateral-profile</t>
        </is>
      </c>
      <c r="B176" s="9" t="inlineStr">
        <is>
          <t>Max Rail ™ 3/4 Lateral Profile</t>
        </is>
      </c>
      <c r="C176" s="8" t="inlineStr">
        <is>
          <t>Fences</t>
        </is>
      </c>
      <c r="D176" s="9" t="inlineStr"/>
      <c r="E176" s="8" t="inlineStr">
        <is>
          <t>AG-38152</t>
        </is>
      </c>
      <c r="F176" s="10" t="n">
        <v>78.66</v>
      </c>
      <c r="G176" s="11" t="n"/>
      <c r="H176" s="11" t="n"/>
      <c r="I176" s="11" t="n"/>
      <c r="J176" s="11" t="n"/>
      <c r="K176" s="12" t="n">
        <v>1</v>
      </c>
      <c r="L176" s="12" t="n"/>
      <c r="M176" s="12" t="n"/>
      <c r="N176" s="13">
        <f>IF(AND(H176&gt;0,I176&gt;0,J176&gt;0),ROUND(H176*I176*J176/139,1),"")</f>
        <v/>
      </c>
      <c r="O176" s="13">
        <f>IF(G176="","",IF(N176="",G176,MAX(G176,N176)))</f>
        <v/>
      </c>
    </row>
    <row r="177">
      <c r="A177" s="8" t="inlineStr">
        <is>
          <t>max-rail-1-5-flat-profile-19</t>
        </is>
      </c>
      <c r="B177" s="9" t="inlineStr">
        <is>
          <t>Max Rail ™ 1.5 Flat Profile (19')</t>
        </is>
      </c>
      <c r="C177" s="8" t="inlineStr">
        <is>
          <t>Fences</t>
        </is>
      </c>
      <c r="D177" s="9" t="inlineStr"/>
      <c r="E177" s="8" t="inlineStr">
        <is>
          <t>AG-38146</t>
        </is>
      </c>
      <c r="F177" s="10" t="n">
        <v>81.14</v>
      </c>
      <c r="G177" s="11" t="n"/>
      <c r="H177" s="11" t="n"/>
      <c r="I177" s="11" t="n"/>
      <c r="J177" s="11" t="n"/>
      <c r="K177" s="12" t="n">
        <v>1</v>
      </c>
      <c r="L177" s="12" t="n"/>
      <c r="M177" s="12" t="n"/>
      <c r="N177" s="13">
        <f>IF(AND(H177&gt;0,I177&gt;0,J177&gt;0),ROUND(H177*I177*J177/139,1),"")</f>
        <v/>
      </c>
      <c r="O177" s="13">
        <f>IF(G177="","",IF(N177="",G177,MAX(G177,N177)))</f>
        <v/>
      </c>
    </row>
    <row r="178">
      <c r="A178" s="8" t="inlineStr">
        <is>
          <t>aerolouver-blade-curved-profile</t>
        </is>
      </c>
      <c r="B178" s="9" t="inlineStr">
        <is>
          <t>AeroLouver™ Blade Curved Profile</t>
        </is>
      </c>
      <c r="C178" s="8" t="inlineStr">
        <is>
          <t>Fences</t>
        </is>
      </c>
      <c r="D178" s="9" t="inlineStr"/>
      <c r="E178" s="8" t="inlineStr">
        <is>
          <t>AG-38149</t>
        </is>
      </c>
      <c r="F178" s="10" t="n">
        <v>90.98</v>
      </c>
      <c r="G178" s="11" t="n"/>
      <c r="H178" s="11" t="n"/>
      <c r="I178" s="11" t="n"/>
      <c r="J178" s="11" t="n"/>
      <c r="K178" s="12" t="n">
        <v>1</v>
      </c>
      <c r="L178" s="12" t="n"/>
      <c r="M178" s="12" t="n"/>
      <c r="N178" s="13">
        <f>IF(AND(H178&gt;0,I178&gt;0,J178&gt;0),ROUND(H178*I178*J178/139,1),"")</f>
        <v/>
      </c>
      <c r="O178" s="13">
        <f>IF(G178="","",IF(N178="",G178,MAX(G178,N178)))</f>
        <v/>
      </c>
    </row>
    <row r="179">
      <c r="A179" s="8" t="inlineStr">
        <is>
          <t>aluminum-post</t>
        </is>
      </c>
      <c r="B179" s="9" t="inlineStr">
        <is>
          <t>ALUMINUM POST</t>
        </is>
      </c>
      <c r="C179" s="8" t="inlineStr">
        <is>
          <t>Fences</t>
        </is>
      </c>
      <c r="D179" s="9" t="inlineStr"/>
      <c r="E179" s="8" t="inlineStr">
        <is>
          <t>AG-38143</t>
        </is>
      </c>
      <c r="F179" s="10" t="n">
        <v>132.85</v>
      </c>
      <c r="G179" s="11" t="n"/>
      <c r="H179" s="11" t="n"/>
      <c r="I179" s="11" t="n"/>
      <c r="J179" s="11" t="n"/>
      <c r="K179" s="12" t="n">
        <v>1</v>
      </c>
      <c r="L179" s="12" t="n"/>
      <c r="M179" s="12" t="n"/>
      <c r="N179" s="13">
        <f>IF(AND(H179&gt;0,I179&gt;0,J179&gt;0),ROUND(H179*I179*J179/139,1),"")</f>
        <v/>
      </c>
      <c r="O179" s="13">
        <f>IF(G179="","",IF(N179="",G179,MAX(G179,N179)))</f>
        <v/>
      </c>
    </row>
    <row r="180">
      <c r="A180" s="8" t="inlineStr">
        <is>
          <t>box-diy-patio-cover-kit-13-ft-x-19-ft</t>
        </is>
      </c>
      <c r="B180" s="9" t="inlineStr">
        <is>
          <t>(BOX) DIY Patio Cover Kit 13 ft x 19 ft - Automatic Louver</t>
        </is>
      </c>
      <c r="C180" s="8" t="inlineStr">
        <is>
          <t>Patio Covers &amp; Pergolas</t>
        </is>
      </c>
      <c r="D180" s="9" t="inlineStr">
        <is>
          <t>Black Frame &amp; Black Louver</t>
        </is>
      </c>
      <c r="E180" s="8" t="inlineStr">
        <is>
          <t>AG-63803-1</t>
        </is>
      </c>
      <c r="F180" s="10" t="n">
        <v>11551.02</v>
      </c>
      <c r="G180" s="11" t="n"/>
      <c r="H180" s="11" t="n"/>
      <c r="I180" s="11" t="n"/>
      <c r="J180" s="11" t="n"/>
      <c r="K180" s="12" t="n">
        <v>1</v>
      </c>
      <c r="L180" s="12" t="n"/>
      <c r="M180" s="12" t="n"/>
      <c r="N180" s="13">
        <f>IF(AND(H180&gt;0,I180&gt;0,J180&gt;0),ROUND(H180*I180*J180/139,1),"")</f>
        <v/>
      </c>
      <c r="O180" s="13">
        <f>IF(G180="","",IF(N180="",G180,MAX(G180,N180)))</f>
        <v/>
      </c>
    </row>
    <row r="181">
      <c r="A181" s="8" t="inlineStr">
        <is>
          <t>box-diy-patio-cover-kit-13-ft-x-19-ft</t>
        </is>
      </c>
      <c r="B181" s="9" t="inlineStr">
        <is>
          <t>(BOX) DIY Patio Cover Kit 13 ft x 19 ft - Automatic Louver</t>
        </is>
      </c>
      <c r="C181" s="8" t="inlineStr">
        <is>
          <t>Patio Covers &amp; Pergolas</t>
        </is>
      </c>
      <c r="D181" s="9" t="inlineStr">
        <is>
          <t>Black Frame &amp; Warm Teak Wood look Louver</t>
        </is>
      </c>
      <c r="E181" s="8" t="inlineStr">
        <is>
          <t>AG-63803-2</t>
        </is>
      </c>
      <c r="F181" s="10" t="n">
        <v>12737.23</v>
      </c>
      <c r="G181" s="11" t="n"/>
      <c r="H181" s="11" t="n"/>
      <c r="I181" s="11" t="n"/>
      <c r="J181" s="11" t="n"/>
      <c r="K181" s="12" t="n">
        <v>1</v>
      </c>
      <c r="L181" s="12" t="n"/>
      <c r="M181" s="12" t="n"/>
      <c r="N181" s="13">
        <f>IF(AND(H181&gt;0,I181&gt;0,J181&gt;0),ROUND(H181*I181*J181/139,1),"")</f>
        <v/>
      </c>
      <c r="O181" s="13">
        <f>IF(G181="","",IF(N181="",G181,MAX(G181,N181)))</f>
        <v/>
      </c>
    </row>
    <row r="182">
      <c r="A182" s="8" t="inlineStr">
        <is>
          <t>box-diy-patio-cover-kit-13-ft-x-19-ft</t>
        </is>
      </c>
      <c r="B182" s="9" t="inlineStr">
        <is>
          <t>(BOX) DIY Patio Cover Kit 13 ft x 19 ft - Automatic Louver</t>
        </is>
      </c>
      <c r="C182" s="8" t="inlineStr">
        <is>
          <t>Patio Covers &amp; Pergolas</t>
        </is>
      </c>
      <c r="D182" s="9" t="inlineStr">
        <is>
          <t>White Frame &amp; White Louver</t>
        </is>
      </c>
      <c r="E182" s="8" t="inlineStr">
        <is>
          <t>AG-63803-3</t>
        </is>
      </c>
      <c r="F182" s="10" t="n">
        <v>12737.23</v>
      </c>
      <c r="G182" s="11" t="n"/>
      <c r="H182" s="11" t="n"/>
      <c r="I182" s="11" t="n"/>
      <c r="J182" s="11" t="n"/>
      <c r="K182" s="12" t="n">
        <v>1</v>
      </c>
      <c r="L182" s="12" t="n"/>
      <c r="M182" s="12" t="n"/>
      <c r="N182" s="13">
        <f>IF(AND(H182&gt;0,I182&gt;0,J182&gt;0),ROUND(H182*I182*J182/139,1),"")</f>
        <v/>
      </c>
      <c r="O182" s="13">
        <f>IF(G182="","",IF(N182="",G182,MAX(G182,N182)))</f>
        <v/>
      </c>
    </row>
    <row r="183">
      <c r="A183" s="8" t="inlineStr">
        <is>
          <t>box-diy-patio-cover-kit-13-ft-x-19-ft</t>
        </is>
      </c>
      <c r="B183" s="9" t="inlineStr">
        <is>
          <t>(BOX) DIY Patio Cover Kit 13 ft x 19 ft - Automatic Louver</t>
        </is>
      </c>
      <c r="C183" s="8" t="inlineStr">
        <is>
          <t>Patio Covers &amp; Pergolas</t>
        </is>
      </c>
      <c r="D183" s="9" t="inlineStr">
        <is>
          <t>White Frame &amp; White Oak Wood look Louver</t>
        </is>
      </c>
      <c r="E183" s="8" t="inlineStr">
        <is>
          <t>AG-63803-4</t>
        </is>
      </c>
      <c r="F183" s="10" t="n">
        <v>12737.23</v>
      </c>
      <c r="G183" s="11" t="n"/>
      <c r="H183" s="11" t="n"/>
      <c r="I183" s="11" t="n"/>
      <c r="J183" s="11" t="n"/>
      <c r="K183" s="12" t="n">
        <v>1</v>
      </c>
      <c r="L183" s="12" t="n"/>
      <c r="M183" s="12" t="n"/>
      <c r="N183" s="13">
        <f>IF(AND(H183&gt;0,I183&gt;0,J183&gt;0),ROUND(H183*I183*J183/139,1),"")</f>
        <v/>
      </c>
      <c r="O183" s="13">
        <f>IF(G183="","",IF(N183="",G183,MAX(G183,N183)))</f>
        <v/>
      </c>
    </row>
    <row r="184">
      <c r="A184" s="8" t="inlineStr">
        <is>
          <t>aluminum-wall-cladding-clad120-black</t>
        </is>
      </c>
      <c r="B184" s="9" t="inlineStr">
        <is>
          <t>Alu Cladding Clad120 – Aluminum Cladding Panel (Black &amp; Woodgrain)</t>
        </is>
      </c>
      <c r="C184" s="8" t="inlineStr">
        <is>
          <t>Cladding</t>
        </is>
      </c>
      <c r="D184" s="9" t="inlineStr">
        <is>
          <t>Black</t>
        </is>
      </c>
      <c r="E184" s="8" t="inlineStr">
        <is>
          <t>AG-32975-1</t>
        </is>
      </c>
      <c r="F184" s="10" t="n">
        <v>118.13</v>
      </c>
      <c r="G184" s="11" t="n"/>
      <c r="H184" s="11" t="n"/>
      <c r="I184" s="11" t="n"/>
      <c r="J184" s="11" t="n"/>
      <c r="K184" s="12" t="n">
        <v>1</v>
      </c>
      <c r="L184" s="12" t="n"/>
      <c r="M184" s="12" t="n"/>
      <c r="N184" s="13">
        <f>IF(AND(H184&gt;0,I184&gt;0,J184&gt;0),ROUND(H184*I184*J184/139,1),"")</f>
        <v/>
      </c>
      <c r="O184" s="13">
        <f>IF(G184="","",IF(N184="",G184,MAX(G184,N184)))</f>
        <v/>
      </c>
    </row>
    <row r="185">
      <c r="A185" s="8" t="inlineStr">
        <is>
          <t>aluminum-wall-cladding-clad120-black</t>
        </is>
      </c>
      <c r="B185" s="9" t="inlineStr">
        <is>
          <t>Alu Cladding Clad120 – Aluminum Cladding Panel (Black &amp; Woodgrain)</t>
        </is>
      </c>
      <c r="C185" s="8" t="inlineStr">
        <is>
          <t>Cladding</t>
        </is>
      </c>
      <c r="D185" s="9" t="inlineStr">
        <is>
          <t>Teak</t>
        </is>
      </c>
      <c r="E185" s="8" t="inlineStr">
        <is>
          <t>AG-32975-2</t>
        </is>
      </c>
      <c r="F185" s="10" t="n">
        <v>157.5</v>
      </c>
      <c r="G185" s="11" t="n"/>
      <c r="H185" s="11" t="n"/>
      <c r="I185" s="11" t="n"/>
      <c r="J185" s="11" t="n"/>
      <c r="K185" s="12" t="n">
        <v>1</v>
      </c>
      <c r="L185" s="12" t="n"/>
      <c r="M185" s="12" t="n"/>
      <c r="N185" s="13">
        <f>IF(AND(H185&gt;0,I185&gt;0,J185&gt;0),ROUND(H185*I185*J185/139,1),"")</f>
        <v/>
      </c>
      <c r="O185" s="13">
        <f>IF(G185="","",IF(N185="",G185,MAX(G185,N185)))</f>
        <v/>
      </c>
    </row>
    <row r="186">
      <c r="A186" s="8" t="inlineStr">
        <is>
          <t>aluminum-wall-cladding-clad120-black</t>
        </is>
      </c>
      <c r="B186" s="9" t="inlineStr">
        <is>
          <t>Alu Cladding Clad120 – Aluminum Cladding Panel (Black &amp; Woodgrain)</t>
        </is>
      </c>
      <c r="C186" s="8" t="inlineStr">
        <is>
          <t>Cladding</t>
        </is>
      </c>
      <c r="D186" s="9" t="inlineStr">
        <is>
          <t>White Oak</t>
        </is>
      </c>
      <c r="E186" s="8" t="inlineStr">
        <is>
          <t>AG-32975-3</t>
        </is>
      </c>
      <c r="F186" s="10" t="n">
        <v>157.5</v>
      </c>
      <c r="G186" s="11" t="n"/>
      <c r="H186" s="11" t="n"/>
      <c r="I186" s="11" t="n"/>
      <c r="J186" s="11" t="n"/>
      <c r="K186" s="12" t="n">
        <v>1</v>
      </c>
      <c r="L186" s="12" t="n"/>
      <c r="M186" s="12" t="n"/>
      <c r="N186" s="13">
        <f>IF(AND(H186&gt;0,I186&gt;0,J186&gt;0),ROUND(H186*I186*J186/139,1),"")</f>
        <v/>
      </c>
      <c r="O186" s="13">
        <f>IF(G186="","",IF(N186="",G186,MAX(G186,N186)))</f>
        <v/>
      </c>
    </row>
    <row r="187">
      <c r="A187" s="8" t="inlineStr">
        <is>
          <t>aluminum-wall-cladding-clad120-black</t>
        </is>
      </c>
      <c r="B187" s="9" t="inlineStr">
        <is>
          <t>Alu Cladding Clad120 – Aluminum Cladding Panel (Black &amp; Woodgrain)</t>
        </is>
      </c>
      <c r="C187" s="8" t="inlineStr">
        <is>
          <t>Cladding</t>
        </is>
      </c>
      <c r="D187" s="9" t="inlineStr">
        <is>
          <t>IPE</t>
        </is>
      </c>
      <c r="E187" s="8" t="inlineStr">
        <is>
          <t>AG-32975-4</t>
        </is>
      </c>
      <c r="F187" s="10" t="n">
        <v>157.5</v>
      </c>
      <c r="G187" s="11" t="n"/>
      <c r="H187" s="11" t="n"/>
      <c r="I187" s="11" t="n"/>
      <c r="J187" s="11" t="n"/>
      <c r="K187" s="12" t="n">
        <v>1</v>
      </c>
      <c r="L187" s="12" t="n"/>
      <c r="M187" s="12" t="n"/>
      <c r="N187" s="13">
        <f>IF(AND(H187&gt;0,I187&gt;0,J187&gt;0),ROUND(H187*I187*J187/139,1),"")</f>
        <v/>
      </c>
      <c r="O187" s="13">
        <f>IF(G187="","",IF(N187="",G187,MAX(G187,N187)))</f>
        <v/>
      </c>
    </row>
    <row r="188">
      <c r="A188" s="8" t="inlineStr">
        <is>
          <t>aluminum-wall-cladding-clad100-woodgrain</t>
        </is>
      </c>
      <c r="B188" s="9" t="inlineStr">
        <is>
          <t>Alu Cladding Clad100 – Woodgrain Aluminum Cladding Panels</t>
        </is>
      </c>
      <c r="C188" s="8" t="inlineStr">
        <is>
          <t>Cladding</t>
        </is>
      </c>
      <c r="D188" s="9" t="inlineStr">
        <is>
          <t>Teak</t>
        </is>
      </c>
      <c r="E188" s="8" t="inlineStr">
        <is>
          <t>AG-32907-1</t>
        </is>
      </c>
      <c r="F188" s="10" t="n">
        <v>112.88</v>
      </c>
      <c r="G188" s="11" t="n"/>
      <c r="H188" s="11" t="n"/>
      <c r="I188" s="11" t="n"/>
      <c r="J188" s="11" t="n"/>
      <c r="K188" s="12" t="n">
        <v>1</v>
      </c>
      <c r="L188" s="12" t="n"/>
      <c r="M188" s="12" t="n"/>
      <c r="N188" s="13">
        <f>IF(AND(H188&gt;0,I188&gt;0,J188&gt;0),ROUND(H188*I188*J188/139,1),"")</f>
        <v/>
      </c>
      <c r="O188" s="13">
        <f>IF(G188="","",IF(N188="",G188,MAX(G188,N188)))</f>
        <v/>
      </c>
    </row>
    <row r="189">
      <c r="A189" s="8" t="inlineStr">
        <is>
          <t>aluminum-wall-cladding-clad100-woodgrain</t>
        </is>
      </c>
      <c r="B189" s="9" t="inlineStr">
        <is>
          <t>Alu Cladding Clad100 – Woodgrain Aluminum Cladding Panels</t>
        </is>
      </c>
      <c r="C189" s="8" t="inlineStr">
        <is>
          <t>Cladding</t>
        </is>
      </c>
      <c r="D189" s="9" t="inlineStr">
        <is>
          <t>IPE</t>
        </is>
      </c>
      <c r="E189" s="8" t="inlineStr">
        <is>
          <t>AG-32907-2</t>
        </is>
      </c>
      <c r="F189" s="10" t="n">
        <v>112.88</v>
      </c>
      <c r="G189" s="11" t="n"/>
      <c r="H189" s="11" t="n"/>
      <c r="I189" s="11" t="n"/>
      <c r="J189" s="11" t="n"/>
      <c r="K189" s="12" t="n">
        <v>1</v>
      </c>
      <c r="L189" s="12" t="n"/>
      <c r="M189" s="12" t="n"/>
      <c r="N189" s="13">
        <f>IF(AND(H189&gt;0,I189&gt;0,J189&gt;0),ROUND(H189*I189*J189/139,1),"")</f>
        <v/>
      </c>
      <c r="O189" s="13">
        <f>IF(G189="","",IF(N189="",G189,MAX(G189,N189)))</f>
        <v/>
      </c>
    </row>
    <row r="190">
      <c r="A190" s="8" t="inlineStr">
        <is>
          <t>aluminum-wall-cladding-clad100-woodgrain</t>
        </is>
      </c>
      <c r="B190" s="9" t="inlineStr">
        <is>
          <t>Alu Cladding Clad100 – Woodgrain Aluminum Cladding Panels</t>
        </is>
      </c>
      <c r="C190" s="8" t="inlineStr">
        <is>
          <t>Cladding</t>
        </is>
      </c>
      <c r="D190" s="9" t="inlineStr">
        <is>
          <t>White Oak</t>
        </is>
      </c>
      <c r="E190" s="8" t="inlineStr">
        <is>
          <t>AG-32907-3</t>
        </is>
      </c>
      <c r="F190" s="10" t="n">
        <v>112.88</v>
      </c>
      <c r="G190" s="11" t="n"/>
      <c r="H190" s="11" t="n"/>
      <c r="I190" s="11" t="n"/>
      <c r="J190" s="11" t="n"/>
      <c r="K190" s="12" t="n">
        <v>1</v>
      </c>
      <c r="L190" s="12" t="n"/>
      <c r="M190" s="12" t="n"/>
      <c r="N190" s="13">
        <f>IF(AND(H190&gt;0,I190&gt;0,J190&gt;0),ROUND(H190*I190*J190/139,1),"")</f>
        <v/>
      </c>
      <c r="O190" s="13">
        <f>IF(G190="","",IF(N190="",G190,MAX(G190,N190)))</f>
        <v/>
      </c>
    </row>
    <row r="191">
      <c r="A191" s="8" t="inlineStr">
        <is>
          <t>l-shape-aluminum-trim-2-piece-finishing-system</t>
        </is>
      </c>
      <c r="B191" s="9" t="inlineStr">
        <is>
          <t>Alu Cladding L-SHAPE 2 pc</t>
        </is>
      </c>
      <c r="C191" s="8" t="inlineStr">
        <is>
          <t>Cladding</t>
        </is>
      </c>
      <c r="D191" s="9" t="inlineStr">
        <is>
          <t>Walnut</t>
        </is>
      </c>
      <c r="E191" s="8" t="inlineStr">
        <is>
          <t>AG-33037-1</t>
        </is>
      </c>
      <c r="F191" s="10" t="n">
        <v>68.25</v>
      </c>
      <c r="G191" s="11" t="n"/>
      <c r="H191" s="11" t="n"/>
      <c r="I191" s="11" t="n"/>
      <c r="J191" s="11" t="n"/>
      <c r="K191" s="12" t="n">
        <v>1</v>
      </c>
      <c r="L191" s="12" t="n"/>
      <c r="M191" s="12" t="n"/>
      <c r="N191" s="13">
        <f>IF(AND(H191&gt;0,I191&gt;0,J191&gt;0),ROUND(H191*I191*J191/139,1),"")</f>
        <v/>
      </c>
      <c r="O191" s="13">
        <f>IF(G191="","",IF(N191="",G191,MAX(G191,N191)))</f>
        <v/>
      </c>
    </row>
    <row r="192">
      <c r="A192" s="8" t="inlineStr">
        <is>
          <t>l-shape-aluminum-trim-2-piece-finishing-system</t>
        </is>
      </c>
      <c r="B192" s="9" t="inlineStr">
        <is>
          <t>Alu Cladding L-SHAPE 2 pc</t>
        </is>
      </c>
      <c r="C192" s="8" t="inlineStr">
        <is>
          <t>Cladding</t>
        </is>
      </c>
      <c r="D192" s="9" t="inlineStr">
        <is>
          <t>Black</t>
        </is>
      </c>
      <c r="E192" s="8" t="inlineStr">
        <is>
          <t>AG-33037-2</t>
        </is>
      </c>
      <c r="F192" s="10" t="n">
        <v>49.35</v>
      </c>
      <c r="G192" s="11" t="n"/>
      <c r="H192" s="11" t="n"/>
      <c r="I192" s="11" t="n"/>
      <c r="J192" s="11" t="n"/>
      <c r="K192" s="12" t="n">
        <v>1</v>
      </c>
      <c r="L192" s="12" t="n"/>
      <c r="M192" s="12" t="n"/>
      <c r="N192" s="13">
        <f>IF(AND(H192&gt;0,I192&gt;0,J192&gt;0),ROUND(H192*I192*J192/139,1),"")</f>
        <v/>
      </c>
      <c r="O192" s="13">
        <f>IF(G192="","",IF(N192="",G192,MAX(G192,N192)))</f>
        <v/>
      </c>
    </row>
    <row r="193">
      <c r="A193" s="8" t="inlineStr">
        <is>
          <t>l-shape-aluminum-trim-2-piece-finishing-system</t>
        </is>
      </c>
      <c r="B193" s="9" t="inlineStr">
        <is>
          <t>Alu Cladding L-SHAPE 2 pc</t>
        </is>
      </c>
      <c r="C193" s="8" t="inlineStr">
        <is>
          <t>Cladding</t>
        </is>
      </c>
      <c r="D193" s="9" t="inlineStr">
        <is>
          <t>Teak</t>
        </is>
      </c>
      <c r="E193" s="8" t="inlineStr">
        <is>
          <t>AG-33037-3</t>
        </is>
      </c>
      <c r="F193" s="10" t="n">
        <v>68.25</v>
      </c>
      <c r="G193" s="11" t="n"/>
      <c r="H193" s="11" t="n"/>
      <c r="I193" s="11" t="n"/>
      <c r="J193" s="11" t="n"/>
      <c r="K193" s="12" t="n">
        <v>1</v>
      </c>
      <c r="L193" s="12" t="n"/>
      <c r="M193" s="12" t="n"/>
      <c r="N193" s="13">
        <f>IF(AND(H193&gt;0,I193&gt;0,J193&gt;0),ROUND(H193*I193*J193/139,1),"")</f>
        <v/>
      </c>
      <c r="O193" s="13">
        <f>IF(G193="","",IF(N193="",G193,MAX(G193,N193)))</f>
        <v/>
      </c>
    </row>
    <row r="194">
      <c r="A194" s="8" t="inlineStr">
        <is>
          <t>l-shape-aluminum-trim-2-piece-finishing-system</t>
        </is>
      </c>
      <c r="B194" s="9" t="inlineStr">
        <is>
          <t>Alu Cladding L-SHAPE 2 pc</t>
        </is>
      </c>
      <c r="C194" s="8" t="inlineStr">
        <is>
          <t>Cladding</t>
        </is>
      </c>
      <c r="D194" s="9" t="inlineStr">
        <is>
          <t>White Oak</t>
        </is>
      </c>
      <c r="E194" s="8" t="inlineStr">
        <is>
          <t>AG-33037-4</t>
        </is>
      </c>
      <c r="F194" s="10" t="n">
        <v>68.25</v>
      </c>
      <c r="G194" s="11" t="n"/>
      <c r="H194" s="11" t="n"/>
      <c r="I194" s="11" t="n"/>
      <c r="J194" s="11" t="n"/>
      <c r="K194" s="12" t="n">
        <v>1</v>
      </c>
      <c r="L194" s="12" t="n"/>
      <c r="M194" s="12" t="n"/>
      <c r="N194" s="13">
        <f>IF(AND(H194&gt;0,I194&gt;0,J194&gt;0),ROUND(H194*I194*J194/139,1),"")</f>
        <v/>
      </c>
      <c r="O194" s="13">
        <f>IF(G194="","",IF(N194="",G194,MAX(G194,N194)))</f>
        <v/>
      </c>
    </row>
    <row r="195">
      <c r="A195" s="8" t="inlineStr">
        <is>
          <t>cantilever-aluminum-patio-cover-kit-slats-roofing</t>
        </is>
      </c>
      <c r="B195" s="9" t="inlineStr">
        <is>
          <t>Cantilever Aluminum Patio Cover Kit - Slats Roofing</t>
        </is>
      </c>
      <c r="C195" s="8" t="inlineStr">
        <is>
          <t>Patio Covers &amp; Pergolas</t>
        </is>
      </c>
      <c r="D195" s="9" t="inlineStr"/>
      <c r="E195" s="8" t="inlineStr"/>
      <c r="F195" s="10" t="n">
        <v>4800</v>
      </c>
      <c r="G195" s="11" t="n"/>
      <c r="H195" s="11" t="n"/>
      <c r="I195" s="11" t="n"/>
      <c r="J195" s="11" t="n"/>
      <c r="K195" s="12" t="n">
        <v>1</v>
      </c>
      <c r="L195" s="12" t="n"/>
      <c r="M195" s="12" t="n"/>
      <c r="N195" s="13">
        <f>IF(AND(H195&gt;0,I195&gt;0,J195&gt;0),ROUND(H195*I195*J195/139,1),"")</f>
        <v/>
      </c>
      <c r="O195" s="13">
        <f>IF(G195="","",IF(N195="",G195,MAX(G195,N195)))</f>
        <v/>
      </c>
    </row>
    <row r="196">
      <c r="A196" s="8" t="inlineStr">
        <is>
          <t>cantilever-aluminum-patio-cover-kit-automatic-louver</t>
        </is>
      </c>
      <c r="B196" s="9" t="inlineStr">
        <is>
          <t>Cantilever Aluminum Patio Cover Kit - Automatic Louver</t>
        </is>
      </c>
      <c r="C196" s="8" t="inlineStr">
        <is>
          <t>Patio Covers &amp; Pergolas</t>
        </is>
      </c>
      <c r="D196" s="9" t="inlineStr"/>
      <c r="E196" s="8" t="inlineStr"/>
      <c r="F196" s="10" t="n">
        <v>7580</v>
      </c>
      <c r="G196" s="11" t="n"/>
      <c r="H196" s="11" t="n"/>
      <c r="I196" s="11" t="n"/>
      <c r="J196" s="11" t="n"/>
      <c r="K196" s="12" t="n">
        <v>1</v>
      </c>
      <c r="L196" s="12" t="n"/>
      <c r="M196" s="12" t="n"/>
      <c r="N196" s="13">
        <f>IF(AND(H196&gt;0,I196&gt;0,J196&gt;0),ROUND(H196*I196*J196/139,1),"")</f>
        <v/>
      </c>
      <c r="O196" s="13">
        <f>IF(G196="","",IF(N196="",G196,MAX(G196,N196)))</f>
        <v/>
      </c>
    </row>
    <row r="197">
      <c r="A197" s="8" t="inlineStr">
        <is>
          <t>cantilever-patio-cover-kit-sirp</t>
        </is>
      </c>
      <c r="B197" s="9" t="inlineStr">
        <is>
          <t>Cantilever Aluminum Patio Cover Kit - Solid Insulated Roof Panel</t>
        </is>
      </c>
      <c r="C197" s="8" t="inlineStr">
        <is>
          <t>Patio Covers &amp; Pergolas</t>
        </is>
      </c>
      <c r="D197" s="9" t="inlineStr"/>
      <c r="E197" s="8" t="inlineStr"/>
      <c r="F197" s="10" t="n">
        <v>5940</v>
      </c>
      <c r="G197" s="11" t="n"/>
      <c r="H197" s="11" t="n"/>
      <c r="I197" s="11" t="n"/>
      <c r="J197" s="11" t="n"/>
      <c r="K197" s="12" t="n">
        <v>1</v>
      </c>
      <c r="L197" s="12" t="n"/>
      <c r="M197" s="12" t="n"/>
      <c r="N197" s="13">
        <f>IF(AND(H197&gt;0,I197&gt;0,J197&gt;0),ROUND(H197*I197*J197/139,1),"")</f>
        <v/>
      </c>
      <c r="O197" s="13">
        <f>IF(G197="","",IF(N197="",G197,MAX(G197,N197)))</f>
        <v/>
      </c>
    </row>
    <row r="198">
      <c r="A198" s="8" t="inlineStr">
        <is>
          <t>insulated-patio-cover-kit</t>
        </is>
      </c>
      <c r="B198" s="9" t="inlineStr">
        <is>
          <t>Insulated Aluminum Patio Cover Kit</t>
        </is>
      </c>
      <c r="C198" s="8" t="inlineStr">
        <is>
          <t>Patio Covers &amp; Pergolas</t>
        </is>
      </c>
      <c r="D198" s="9" t="inlineStr"/>
      <c r="E198" s="8" t="inlineStr"/>
      <c r="F198" s="10" t="n">
        <v>7900</v>
      </c>
      <c r="G198" s="11" t="n"/>
      <c r="H198" s="11" t="n"/>
      <c r="I198" s="11" t="n"/>
      <c r="J198" s="11" t="n"/>
      <c r="K198" s="12" t="n">
        <v>1</v>
      </c>
      <c r="L198" s="12" t="n"/>
      <c r="M198" s="12" t="n"/>
      <c r="N198" s="13">
        <f>IF(AND(H198&gt;0,I198&gt;0,J198&gt;0),ROUND(H198*I198*J198/139,1),"")</f>
        <v/>
      </c>
      <c r="O198" s="13">
        <f>IF(G198="","",IF(N198="",G198,MAX(G198,N198)))</f>
        <v/>
      </c>
    </row>
    <row r="199">
      <c r="A199" s="8" t="inlineStr">
        <is>
          <t>beam-roof-patio-cover-kit</t>
        </is>
      </c>
      <c r="B199" s="9" t="inlineStr">
        <is>
          <t>Aluminum Beam Roof Patio Cover Kit</t>
        </is>
      </c>
      <c r="C199" s="8" t="inlineStr">
        <is>
          <t>Patio Covers &amp; Pergolas</t>
        </is>
      </c>
      <c r="D199" s="9" t="inlineStr"/>
      <c r="E199" s="8" t="inlineStr"/>
      <c r="F199" s="10" t="n">
        <v>4130</v>
      </c>
      <c r="G199" s="11" t="n"/>
      <c r="H199" s="11" t="n"/>
      <c r="I199" s="11" t="n"/>
      <c r="J199" s="11" t="n"/>
      <c r="K199" s="12" t="n">
        <v>1</v>
      </c>
      <c r="L199" s="12" t="n"/>
      <c r="M199" s="12" t="n"/>
      <c r="N199" s="13">
        <f>IF(AND(H199&gt;0,I199&gt;0,J199&gt;0),ROUND(H199*I199*J199/139,1),"")</f>
        <v/>
      </c>
      <c r="O199" s="13">
        <f>IF(G199="","",IF(N199="",G199,MAX(G199,N199)))</f>
        <v/>
      </c>
    </row>
    <row r="200">
      <c r="A200" s="8" t="inlineStr">
        <is>
          <t>slat-roof-pergola-kits</t>
        </is>
      </c>
      <c r="B200" s="9" t="inlineStr">
        <is>
          <t>Aluminum Slat Roof Pergola Kits</t>
        </is>
      </c>
      <c r="C200" s="8" t="inlineStr">
        <is>
          <t>Patio Covers &amp; Pergolas</t>
        </is>
      </c>
      <c r="D200" s="9" t="inlineStr"/>
      <c r="E200" s="8" t="inlineStr"/>
      <c r="F200" s="10" t="n">
        <v>5720</v>
      </c>
      <c r="G200" s="11" t="n"/>
      <c r="H200" s="11" t="n"/>
      <c r="I200" s="11" t="n"/>
      <c r="J200" s="11" t="n"/>
      <c r="K200" s="12" t="n">
        <v>1</v>
      </c>
      <c r="L200" s="12" t="n"/>
      <c r="M200" s="12" t="n"/>
      <c r="N200" s="13">
        <f>IF(AND(H200&gt;0,I200&gt;0,J200&gt;0),ROUND(H200*I200*J200/139,1),"")</f>
        <v/>
      </c>
      <c r="O200" s="13">
        <f>IF(G200="","",IF(N200="",G200,MAX(G200,N200)))</f>
        <v/>
      </c>
    </row>
    <row r="201">
      <c r="A201" s="8" t="inlineStr">
        <is>
          <t>automatic-louver-pergola-kit</t>
        </is>
      </c>
      <c r="B201" s="9" t="inlineStr">
        <is>
          <t>Automatic Louver Pergola Kit</t>
        </is>
      </c>
      <c r="C201" s="8" t="inlineStr">
        <is>
          <t>Patio Covers &amp; Pergolas</t>
        </is>
      </c>
      <c r="D201" s="9" t="inlineStr"/>
      <c r="E201" s="8" t="inlineStr"/>
      <c r="F201" s="10" t="n">
        <v>10050</v>
      </c>
      <c r="G201" s="11" t="n"/>
      <c r="H201" s="11" t="n"/>
      <c r="I201" s="11" t="n"/>
      <c r="J201" s="11" t="n"/>
      <c r="K201" s="12" t="n">
        <v>1</v>
      </c>
      <c r="L201" s="12" t="n"/>
      <c r="M201" s="12" t="n"/>
      <c r="N201" s="13">
        <f>IF(AND(H201&gt;0,I201&gt;0,J201&gt;0),ROUND(H201*I201*J201/139,1),"")</f>
        <v/>
      </c>
      <c r="O201" s="13">
        <f>IF(G201="","",IF(N201="",G201,MAX(G201,N201)))</f>
        <v/>
      </c>
    </row>
  </sheetData>
  <autoFilter ref="A1:O201"/>
  <dataValidations count="5">
    <dataValidation sqref="L2:L201" showDropDown="0" showInputMessage="0" showErrorMessage="0" allowBlank="1" type="list">
      <formula1>"Parcel,Freight (LTL),Local pickup / delivery"</formula1>
    </dataValidation>
    <dataValidation sqref="G2:G201" showDropDown="0" showInputMessage="0" showErrorMessage="1" allowBlank="1" error="Enter a number (pounds or inches)" type="decimal" operator="between">
      <formula1>0</formula1>
      <formula2>5000</formula2>
    </dataValidation>
    <dataValidation sqref="H2:H201" showDropDown="0" showInputMessage="0" showErrorMessage="1" allowBlank="1" error="Enter a number (pounds or inches)" type="decimal" operator="between">
      <formula1>0</formula1>
      <formula2>5000</formula2>
    </dataValidation>
    <dataValidation sqref="I2:I201" showDropDown="0" showInputMessage="0" showErrorMessage="1" allowBlank="1" error="Enter a number (pounds or inches)" type="decimal" operator="between">
      <formula1>0</formula1>
      <formula2>5000</formula2>
    </dataValidation>
    <dataValidation sqref="J2:J201" showDropDown="0" showInputMessage="0" showErrorMessage="1" allowBlank="1" error="Enter a number (pounds or inches)" type="decimal" operator="between">
      <formula1>0</formula1>
      <formula2>5000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2026-10-06T16:50:34Z</dcterms:created>
  <dcterms:modified xmlns:dcterms="http://purl.org/dc/terms/" xmlns:xsi="http://www.w3.org/2001/XMLSchema-instance" xsi:type="dcterms:W3CDTF">2026-10-06T16:50:34Z</dcterms:modified>
</cp:coreProperties>
</file>